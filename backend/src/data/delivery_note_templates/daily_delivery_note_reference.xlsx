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5" yWindow="-15" windowWidth="9600" windowHeight="11925" tabRatio="721" firstSheet="4" activeTab="14"/>
  </bookViews>
  <sheets>
    <sheet name="山城" sheetId="25" r:id="rId1"/>
    <sheet name="いこいの森" sheetId="13" r:id="rId2"/>
    <sheet name="佐古" sheetId="12" r:id="rId3"/>
    <sheet name="四万十ピア" sheetId="23" r:id="rId4"/>
    <sheet name="そよかぜ" sheetId="20" r:id="rId5"/>
    <sheet name="グランフォレスト" sheetId="27" r:id="rId6"/>
    <sheet name="アイテラス" sheetId="28" r:id="rId7"/>
    <sheet name="池袋病院" sheetId="17" r:id="rId8"/>
    <sheet name="なごみ" sheetId="10" r:id="rId9"/>
    <sheet name="大和なでしこ" sheetId="15" r:id="rId10"/>
    <sheet name="百々家" sheetId="30" r:id="rId11"/>
    <sheet name="春日苑" sheetId="38" r:id="rId12"/>
    <sheet name="ふれあいの丘" sheetId="41" r:id="rId13"/>
    <sheet name="さくら" sheetId="44" r:id="rId14"/>
    <sheet name="長生苑" sheetId="45" r:id="rId15"/>
  </sheets>
  <definedNames>
    <definedName name="aaa" localSheetId="6">#REF!</definedName>
    <definedName name="aaa" localSheetId="1">#REF!</definedName>
    <definedName name="aaa" localSheetId="5">#REF!</definedName>
    <definedName name="aaa" localSheetId="13">#REF!</definedName>
    <definedName name="aaa" localSheetId="4">#REF!</definedName>
    <definedName name="aaa" localSheetId="12">#REF!</definedName>
    <definedName name="aaa" localSheetId="2">#REF!</definedName>
    <definedName name="aaa" localSheetId="0">#REF!</definedName>
    <definedName name="aaa" localSheetId="3">#REF!</definedName>
    <definedName name="aaa" localSheetId="11">#REF!</definedName>
    <definedName name="aaa" localSheetId="9">#REF!</definedName>
    <definedName name="aaa" localSheetId="7">#REF!</definedName>
    <definedName name="aaa" localSheetId="14">#REF!</definedName>
    <definedName name="aaa" localSheetId="10">#REF!</definedName>
    <definedName name="aaa">#REF!</definedName>
    <definedName name="ColumnTitle1" localSheetId="6">#REF!</definedName>
    <definedName name="ColumnTitle1" localSheetId="1">#REF!</definedName>
    <definedName name="ColumnTitle1" localSheetId="5">#REF!</definedName>
    <definedName name="ColumnTitle1" localSheetId="13">#REF!</definedName>
    <definedName name="ColumnTitle1" localSheetId="4">#REF!</definedName>
    <definedName name="ColumnTitle1" localSheetId="12">#REF!</definedName>
    <definedName name="ColumnTitle1" localSheetId="2">#REF!</definedName>
    <definedName name="ColumnTitle1" localSheetId="0">#REF!</definedName>
    <definedName name="ColumnTitle1" localSheetId="3">#REF!</definedName>
    <definedName name="ColumnTitle1" localSheetId="11">#REF!</definedName>
    <definedName name="ColumnTitle1" localSheetId="9">#REF!</definedName>
    <definedName name="ColumnTitle1" localSheetId="7">#REF!</definedName>
    <definedName name="ColumnTitle1" localSheetId="14">#REF!</definedName>
    <definedName name="ColumnTitle1" localSheetId="10">#REF!</definedName>
    <definedName name="ColumnTitle1">#REF!</definedName>
    <definedName name="ＫＨＡＮ" localSheetId="6">#REF!</definedName>
    <definedName name="ＫＨＡＮ" localSheetId="5">#REF!</definedName>
    <definedName name="ＫＨＡＮ" localSheetId="13">#REF!</definedName>
    <definedName name="ＫＨＡＮ" localSheetId="4">#REF!</definedName>
    <definedName name="ＫＨＡＮ" localSheetId="12">#REF!</definedName>
    <definedName name="ＫＨＡＮ" localSheetId="0">#REF!</definedName>
    <definedName name="ＫＨＡＮ" localSheetId="3">#REF!</definedName>
    <definedName name="ＫＨＡＮ" localSheetId="11">#REF!</definedName>
    <definedName name="ＫＨＡＮ" localSheetId="14">#REF!</definedName>
    <definedName name="ＫＨＡＮ" localSheetId="10">#REF!</definedName>
    <definedName name="ＫＨＡＮ">#REF!</definedName>
    <definedName name="LastDay_Week" localSheetId="6">MAX(#REF!)</definedName>
    <definedName name="LastDay_Week" localSheetId="1">MAX(#REF!)</definedName>
    <definedName name="LastDay_Week" localSheetId="5">MAX(#REF!)</definedName>
    <definedName name="LastDay_Week" localSheetId="13">MAX(#REF!)</definedName>
    <definedName name="LastDay_Week" localSheetId="4">MAX(#REF!)</definedName>
    <definedName name="LastDay_Week" localSheetId="12">MAX(#REF!)</definedName>
    <definedName name="LastDay_Week" localSheetId="2">MAX(#REF!)</definedName>
    <definedName name="LastDay_Week" localSheetId="0">MAX(#REF!)</definedName>
    <definedName name="LastDay_Week" localSheetId="3">MAX(#REF!)</definedName>
    <definedName name="LastDay_Week" localSheetId="11">MAX(#REF!)</definedName>
    <definedName name="LastDay_Week" localSheetId="9">MAX(#REF!)</definedName>
    <definedName name="LastDay_Week" localSheetId="7">MAX(#REF!)</definedName>
    <definedName name="LastDay_Week" localSheetId="14">MAX(#REF!)</definedName>
    <definedName name="LastDay_Week" localSheetId="10">MAX(#REF!)</definedName>
    <definedName name="LastDay_Week">MAX(#REF!)</definedName>
    <definedName name="LastDayOfMonth_Week" localSheetId="6">DAY(EOMONTH(DATE(#REF!,アイテラス!WkMonthNum,1),0))</definedName>
    <definedName name="LastDayOfMonth_Week" localSheetId="1">DAY(EOMONTH(DATE(#REF!,いこいの森!WkMonthNum,1),0))</definedName>
    <definedName name="LastDayOfMonth_Week" localSheetId="5">DAY(EOMONTH(DATE(#REF!,グランフォレスト!WkMonthNum,1),0))</definedName>
    <definedName name="LastDayOfMonth_Week" localSheetId="13">DAY(EOMONTH(DATE(#REF!,さくら!WkMonthNum,1),0))</definedName>
    <definedName name="LastDayOfMonth_Week" localSheetId="4">DAY(EOMONTH(DATE(#REF!,そよかぜ!WkMonthNum,1),0))</definedName>
    <definedName name="LastDayOfMonth_Week" localSheetId="12">DAY(EOMONTH(DATE(#REF!,ふれあいの丘!WkMonthNum,1),0))</definedName>
    <definedName name="LastDayOfMonth_Week" localSheetId="2">DAY(EOMONTH(DATE(#REF!,佐古!WkMonthNum,1),0))</definedName>
    <definedName name="LastDayOfMonth_Week" localSheetId="0">DAY(EOMONTH(DATE(#REF!,山城!WkMonthNum,1),0))</definedName>
    <definedName name="LastDayOfMonth_Week" localSheetId="3">DAY(EOMONTH(DATE(#REF!,四万十ピア!WkMonthNum,1),0))</definedName>
    <definedName name="LastDayOfMonth_Week" localSheetId="11">DAY(EOMONTH(DATE(#REF!,春日苑!WkMonthNum,1),0))</definedName>
    <definedName name="LastDayOfMonth_Week" localSheetId="9">DAY(EOMONTH(DATE(#REF!,大和なでしこ!WkMonthNum,1),0))</definedName>
    <definedName name="LastDayOfMonth_Week" localSheetId="7">DAY(EOMONTH(DATE(#REF!,池袋病院!WkMonthNum,1),0))</definedName>
    <definedName name="LastDayOfMonth_Week" localSheetId="14">DAY(EOMONTH(DATE(#REF!,長生苑!WkMonthNum,1),0))</definedName>
    <definedName name="LastDayOfMonth_Week" localSheetId="10">DAY(EOMONTH(DATE(#REF!,百々家!WkMonthNum,1),0))</definedName>
    <definedName name="LastDayOfMonth_Week">DAY(EOMONTH(DATE(#REF!,WkMonthNum,1),0))</definedName>
    <definedName name="MoMonth" localSheetId="6">#REF!</definedName>
    <definedName name="MoMonth" localSheetId="1">#REF!</definedName>
    <definedName name="MoMonth" localSheetId="5">#REF!</definedName>
    <definedName name="MoMonth" localSheetId="13">#REF!</definedName>
    <definedName name="MoMonth" localSheetId="4">#REF!</definedName>
    <definedName name="MoMonth" localSheetId="12">#REF!</definedName>
    <definedName name="MoMonth" localSheetId="2">#REF!</definedName>
    <definedName name="MoMonth" localSheetId="0">#REF!</definedName>
    <definedName name="MoMonth" localSheetId="3">#REF!</definedName>
    <definedName name="MoMonth" localSheetId="11">#REF!</definedName>
    <definedName name="MoMonth" localSheetId="9">#REF!</definedName>
    <definedName name="MoMonth" localSheetId="7">#REF!</definedName>
    <definedName name="MoMonth" localSheetId="14">#REF!</definedName>
    <definedName name="MoMonth" localSheetId="10">#REF!</definedName>
    <definedName name="MoMonth">#REF!</definedName>
    <definedName name="MoMonthNum" localSheetId="6">MONTH(DATEVALUE(アイテラス!MoMonth&amp;"/1"))</definedName>
    <definedName name="MoMonthNum" localSheetId="1">MONTH(DATEVALUE(いこいの森!MoMonth&amp;"/1"))</definedName>
    <definedName name="MoMonthNum" localSheetId="5">MONTH(DATEVALUE(グランフォレスト!MoMonth&amp;"/1"))</definedName>
    <definedName name="MoMonthNum" localSheetId="13">MONTH(DATEVALUE(さくら!MoMonth&amp;"/1"))</definedName>
    <definedName name="MoMonthNum" localSheetId="4">MONTH(DATEVALUE(そよかぜ!MoMonth&amp;"/1"))</definedName>
    <definedName name="MoMonthNum" localSheetId="12">MONTH(DATEVALUE(ふれあいの丘!MoMonth&amp;"/1"))</definedName>
    <definedName name="MoMonthNum" localSheetId="2">MONTH(DATEVALUE(佐古!MoMonth&amp;"/1"))</definedName>
    <definedName name="MoMonthNum" localSheetId="0">MONTH(DATEVALUE(山城!MoMonth&amp;"/1"))</definedName>
    <definedName name="MoMonthNum" localSheetId="3">MONTH(DATEVALUE(四万十ピア!MoMonth&amp;"/1"))</definedName>
    <definedName name="MoMonthNum" localSheetId="11">MONTH(DATEVALUE(春日苑!MoMonth&amp;"/1"))</definedName>
    <definedName name="MoMonthNum" localSheetId="9">MONTH(DATEVALUE(大和なでしこ!MoMonth&amp;"/1"))</definedName>
    <definedName name="MoMonthNum" localSheetId="7">MONTH(DATEVALUE(池袋病院!MoMonth&amp;"/1"))</definedName>
    <definedName name="MoMonthNum" localSheetId="14">MONTH(DATEVALUE(長生苑!MoMonth&amp;"/1"))</definedName>
    <definedName name="MoMonthNum" localSheetId="10">MONTH(DATEVALUE(百々家!MoMonth&amp;"/1"))</definedName>
    <definedName name="MoMonthNum">MONTH(DATEVALUE(MoMonth&amp;"/1"))</definedName>
    <definedName name="MoWeek2" localSheetId="6">#REF!</definedName>
    <definedName name="MoWeek2" localSheetId="1">#REF!</definedName>
    <definedName name="MoWeek2" localSheetId="5">#REF!</definedName>
    <definedName name="MoWeek2" localSheetId="13">#REF!</definedName>
    <definedName name="MoWeek2" localSheetId="4">#REF!</definedName>
    <definedName name="MoWeek2" localSheetId="12">#REF!</definedName>
    <definedName name="MoWeek2" localSheetId="2">#REF!</definedName>
    <definedName name="MoWeek2" localSheetId="0">#REF!</definedName>
    <definedName name="MoWeek2" localSheetId="3">#REF!</definedName>
    <definedName name="MoWeek2" localSheetId="11">#REF!</definedName>
    <definedName name="MoWeek2" localSheetId="9">#REF!</definedName>
    <definedName name="MoWeek2" localSheetId="7">#REF!</definedName>
    <definedName name="MoWeek2" localSheetId="14">#REF!</definedName>
    <definedName name="MoWeek2" localSheetId="10">#REF!</definedName>
    <definedName name="MoWeek2">#REF!</definedName>
    <definedName name="MoWeek3" localSheetId="6">#REF!</definedName>
    <definedName name="MoWeek3" localSheetId="1">#REF!</definedName>
    <definedName name="MoWeek3" localSheetId="5">#REF!</definedName>
    <definedName name="MoWeek3" localSheetId="13">#REF!</definedName>
    <definedName name="MoWeek3" localSheetId="4">#REF!</definedName>
    <definedName name="MoWeek3" localSheetId="12">#REF!</definedName>
    <definedName name="MoWeek3" localSheetId="2">#REF!</definedName>
    <definedName name="MoWeek3" localSheetId="0">#REF!</definedName>
    <definedName name="MoWeek3" localSheetId="3">#REF!</definedName>
    <definedName name="MoWeek3" localSheetId="11">#REF!</definedName>
    <definedName name="MoWeek3" localSheetId="9">#REF!</definedName>
    <definedName name="MoWeek3" localSheetId="7">#REF!</definedName>
    <definedName name="MoWeek3" localSheetId="14">#REF!</definedName>
    <definedName name="MoWeek3" localSheetId="10">#REF!</definedName>
    <definedName name="MoWeek3">#REF!</definedName>
    <definedName name="MoWeek4" localSheetId="6">#REF!</definedName>
    <definedName name="MoWeek4" localSheetId="1">#REF!</definedName>
    <definedName name="MoWeek4" localSheetId="5">#REF!</definedName>
    <definedName name="MoWeek4" localSheetId="13">#REF!</definedName>
    <definedName name="MoWeek4" localSheetId="4">#REF!</definedName>
    <definedName name="MoWeek4" localSheetId="12">#REF!</definedName>
    <definedName name="MoWeek4" localSheetId="2">#REF!</definedName>
    <definedName name="MoWeek4" localSheetId="0">#REF!</definedName>
    <definedName name="MoWeek4" localSheetId="3">#REF!</definedName>
    <definedName name="MoWeek4" localSheetId="11">#REF!</definedName>
    <definedName name="MoWeek4" localSheetId="9">#REF!</definedName>
    <definedName name="MoWeek4" localSheetId="7">#REF!</definedName>
    <definedName name="MoWeek4" localSheetId="14">#REF!</definedName>
    <definedName name="MoWeek4" localSheetId="10">#REF!</definedName>
    <definedName name="MoWeek4">#REF!</definedName>
    <definedName name="MoWeek5" localSheetId="6">#REF!</definedName>
    <definedName name="MoWeek5" localSheetId="1">#REF!</definedName>
    <definedName name="MoWeek5" localSheetId="5">#REF!</definedName>
    <definedName name="MoWeek5" localSheetId="13">#REF!</definedName>
    <definedName name="MoWeek5" localSheetId="4">#REF!</definedName>
    <definedName name="MoWeek5" localSheetId="12">#REF!</definedName>
    <definedName name="MoWeek5" localSheetId="2">#REF!</definedName>
    <definedName name="MoWeek5" localSheetId="0">#REF!</definedName>
    <definedName name="MoWeek5" localSheetId="3">#REF!</definedName>
    <definedName name="MoWeek5" localSheetId="11">#REF!</definedName>
    <definedName name="MoWeek5" localSheetId="9">#REF!</definedName>
    <definedName name="MoWeek5" localSheetId="7">#REF!</definedName>
    <definedName name="MoWeek5" localSheetId="14">#REF!</definedName>
    <definedName name="MoWeek5" localSheetId="10">#REF!</definedName>
    <definedName name="MoWeek5">#REF!</definedName>
    <definedName name="MoYear" localSheetId="6">#REF!</definedName>
    <definedName name="MoYear" localSheetId="1">#REF!</definedName>
    <definedName name="MoYear" localSheetId="5">#REF!</definedName>
    <definedName name="MoYear" localSheetId="13">#REF!</definedName>
    <definedName name="MoYear" localSheetId="4">#REF!</definedName>
    <definedName name="MoYear" localSheetId="12">#REF!</definedName>
    <definedName name="MoYear" localSheetId="2">#REF!</definedName>
    <definedName name="MoYear" localSheetId="0">#REF!</definedName>
    <definedName name="MoYear" localSheetId="3">#REF!</definedName>
    <definedName name="MoYear" localSheetId="11">#REF!</definedName>
    <definedName name="MoYear" localSheetId="9">#REF!</definedName>
    <definedName name="MoYear" localSheetId="7">#REF!</definedName>
    <definedName name="MoYear" localSheetId="14">#REF!</definedName>
    <definedName name="MoYear" localSheetId="10">#REF!</definedName>
    <definedName name="MoYear">#REF!</definedName>
    <definedName name="_xlnm.Print_Area" localSheetId="6">アイテラス!$A$1:$K$19</definedName>
    <definedName name="_xlnm.Print_Area" localSheetId="1">いこいの森!$A$1:$K$19</definedName>
    <definedName name="_xlnm.Print_Area" localSheetId="5">グランフォレスト!$A$1:$I$19</definedName>
    <definedName name="_xlnm.Print_Area" localSheetId="13">さくら!$A:$M</definedName>
    <definedName name="_xlnm.Print_Area" localSheetId="4">そよかぜ!$A$1:$L$19</definedName>
    <definedName name="_xlnm.Print_Area" localSheetId="8">なごみ!$A$1:$I$19</definedName>
    <definedName name="_xlnm.Print_Area" localSheetId="12">ふれあいの丘!$A:$N</definedName>
    <definedName name="_xlnm.Print_Area" localSheetId="2">佐古!$A$1:$L$19</definedName>
    <definedName name="_xlnm.Print_Area" localSheetId="0">山城!$A$1:$K$19</definedName>
    <definedName name="_xlnm.Print_Area" localSheetId="3">四万十ピア!$A$1:$J$19</definedName>
    <definedName name="_xlnm.Print_Area" localSheetId="11">春日苑!$A$1:$M$19</definedName>
    <definedName name="_xlnm.Print_Area" localSheetId="9">大和なでしこ!$A$1:$J$19</definedName>
    <definedName name="_xlnm.Print_Area" localSheetId="7">池袋病院!$A$1:$J$19</definedName>
    <definedName name="_xlnm.Print_Area" localSheetId="14">長生苑!$A$1:$J$19</definedName>
    <definedName name="_xlnm.Print_Area" localSheetId="10">百々家!$A$1:$J$19</definedName>
    <definedName name="soyokaze" localSheetId="6">LEFT(RIGHT(#REF!,3),1)</definedName>
    <definedName name="soyokaze" localSheetId="5">LEFT(RIGHT(#REF!,3),1)</definedName>
    <definedName name="soyokaze" localSheetId="13">LEFT(RIGHT(#REF!,3),1)</definedName>
    <definedName name="soyokaze" localSheetId="12">LEFT(RIGHT(#REF!,3),1)</definedName>
    <definedName name="soyokaze" localSheetId="0">LEFT(RIGHT(#REF!,3),1)</definedName>
    <definedName name="soyokaze" localSheetId="3">LEFT(RIGHT(#REF!,3),1)</definedName>
    <definedName name="soyokaze" localSheetId="11">LEFT(RIGHT(#REF!,3),1)</definedName>
    <definedName name="soyokaze" localSheetId="14">LEFT(RIGHT(#REF!,3),1)</definedName>
    <definedName name="soyokaze" localSheetId="10">LEFT(RIGHT(#REF!,3),1)</definedName>
    <definedName name="soyokaze">LEFT(RIGHT(#REF!,3),1)</definedName>
    <definedName name="WkMonth" localSheetId="6">#REF!</definedName>
    <definedName name="WkMonth" localSheetId="1">#REF!</definedName>
    <definedName name="WkMonth" localSheetId="5">#REF!</definedName>
    <definedName name="WkMonth" localSheetId="13">#REF!</definedName>
    <definedName name="WkMonth" localSheetId="4">#REF!</definedName>
    <definedName name="WkMonth" localSheetId="12">#REF!</definedName>
    <definedName name="WkMonth" localSheetId="2">#REF!</definedName>
    <definedName name="WkMonth" localSheetId="0">#REF!</definedName>
    <definedName name="WkMonth" localSheetId="3">#REF!</definedName>
    <definedName name="WkMonth" localSheetId="11">#REF!</definedName>
    <definedName name="WkMonth" localSheetId="9">#REF!</definedName>
    <definedName name="WkMonth" localSheetId="7">#REF!</definedName>
    <definedName name="WkMonth" localSheetId="14">#REF!</definedName>
    <definedName name="WkMonth" localSheetId="10">#REF!</definedName>
    <definedName name="WkMonth">#REF!</definedName>
    <definedName name="WkMonthNum" localSheetId="6">MONTH(DATEVALUE(#REF!&amp;"/1"))</definedName>
    <definedName name="WkMonthNum" localSheetId="1">MONTH(DATEVALUE(#REF!&amp;"/1"))</definedName>
    <definedName name="WkMonthNum" localSheetId="5">MONTH(DATEVALUE(#REF!&amp;"/1"))</definedName>
    <definedName name="WkMonthNum" localSheetId="13">MONTH(DATEVALUE(#REF!&amp;"/1"))</definedName>
    <definedName name="WkMonthNum" localSheetId="4">MONTH(DATEVALUE(#REF!&amp;"/1"))</definedName>
    <definedName name="WkMonthNum" localSheetId="12">MONTH(DATEVALUE(#REF!&amp;"/1"))</definedName>
    <definedName name="WkMonthNum" localSheetId="2">MONTH(DATEVALUE(#REF!&amp;"/1"))</definedName>
    <definedName name="WkMonthNum" localSheetId="0">MONTH(DATEVALUE(#REF!&amp;"/1"))</definedName>
    <definedName name="WkMonthNum" localSheetId="3">MONTH(DATEVALUE(#REF!&amp;"/1"))</definedName>
    <definedName name="WkMonthNum" localSheetId="11">MONTH(DATEVALUE(#REF!&amp;"/1"))</definedName>
    <definedName name="WkMonthNum" localSheetId="9">MONTH(DATEVALUE(#REF!&amp;"/1"))</definedName>
    <definedName name="WkMonthNum" localSheetId="7">MONTH(DATEVALUE(#REF!&amp;"/1"))</definedName>
    <definedName name="WkMonthNum" localSheetId="14">MONTH(DATEVALUE(#REF!&amp;"/1"))</definedName>
    <definedName name="WkMonthNum" localSheetId="10">MONTH(DATEVALUE(#REF!&amp;"/1"))</definedName>
    <definedName name="WkMonthNum">MONTH(DATEVALUE(#REF!&amp;"/1"))</definedName>
    <definedName name="WkMonthView" localSheetId="6">#REF!</definedName>
    <definedName name="WkMonthView" localSheetId="1">#REF!</definedName>
    <definedName name="WkMonthView" localSheetId="5">#REF!</definedName>
    <definedName name="WkMonthView" localSheetId="13">#REF!</definedName>
    <definedName name="WkMonthView" localSheetId="4">#REF!</definedName>
    <definedName name="WkMonthView" localSheetId="12">#REF!</definedName>
    <definedName name="WkMonthView" localSheetId="2">#REF!</definedName>
    <definedName name="WkMonthView" localSheetId="0">#REF!</definedName>
    <definedName name="WkMonthView" localSheetId="3">#REF!</definedName>
    <definedName name="WkMonthView" localSheetId="11">#REF!</definedName>
    <definedName name="WkMonthView" localSheetId="9">#REF!</definedName>
    <definedName name="WkMonthView" localSheetId="7">#REF!</definedName>
    <definedName name="WkMonthView" localSheetId="14">#REF!</definedName>
    <definedName name="WkMonthView" localSheetId="10">#REF!</definedName>
    <definedName name="WkMonthView">#REF!</definedName>
    <definedName name="WkWeek" localSheetId="6">LEFT(RIGHT(#REF!,3),1)</definedName>
    <definedName name="WkWeek" localSheetId="1">LEFT(RIGHT(#REF!,3),1)</definedName>
    <definedName name="WkWeek" localSheetId="5">LEFT(RIGHT(#REF!,3),1)</definedName>
    <definedName name="WkWeek" localSheetId="13">LEFT(RIGHT(#REF!,3),1)</definedName>
    <definedName name="WkWeek" localSheetId="4">LEFT(RIGHT(#REF!,3),1)</definedName>
    <definedName name="WkWeek" localSheetId="12">LEFT(RIGHT(#REF!,3),1)</definedName>
    <definedName name="WkWeek" localSheetId="2">LEFT(RIGHT(#REF!,3),1)</definedName>
    <definedName name="WkWeek" localSheetId="0">LEFT(RIGHT(#REF!,3),1)</definedName>
    <definedName name="WkWeek" localSheetId="3">LEFT(RIGHT(#REF!,3),1)</definedName>
    <definedName name="WkWeek" localSheetId="11">LEFT(RIGHT(#REF!,3),1)</definedName>
    <definedName name="WkWeek" localSheetId="9">LEFT(RIGHT(#REF!,3),1)</definedName>
    <definedName name="WkWeek" localSheetId="7">LEFT(RIGHT(#REF!,3),1)</definedName>
    <definedName name="WkWeek" localSheetId="14">LEFT(RIGHT(#REF!,3),1)</definedName>
    <definedName name="WkWeek" localSheetId="10">LEFT(RIGHT(#REF!,3),1)</definedName>
    <definedName name="WkWeek">LEFT(RIGHT(#REF!,3),1)</definedName>
    <definedName name="あい" localSheetId="13">DAY(EOMONTH(DATE(#REF!,WkMonthNum,1),0))</definedName>
    <definedName name="あい" localSheetId="14">DAY(EOMONTH(DATE(#REF!,WkMonthNum,1),0))</definedName>
    <definedName name="あい">DAY(EOMONTH(DATE(#REF!,WkMonthNum,1),0))</definedName>
    <definedName name="お" localSheetId="13">#REF!</definedName>
    <definedName name="お" localSheetId="14">#REF!</definedName>
    <definedName name="お">#REF!</definedName>
    <definedName name="おか" localSheetId="13">#REF!</definedName>
    <definedName name="おか" localSheetId="14">#REF!</definedName>
    <definedName name="おか">#REF!</definedName>
    <definedName name="か" localSheetId="6">#REF!</definedName>
    <definedName name="か" localSheetId="5">#REF!</definedName>
    <definedName name="か" localSheetId="13">#REF!</definedName>
    <definedName name="か" localSheetId="4">#REF!</definedName>
    <definedName name="か" localSheetId="12">#REF!</definedName>
    <definedName name="か" localSheetId="0">#REF!</definedName>
    <definedName name="か" localSheetId="3">#REF!</definedName>
    <definedName name="か" localSheetId="11">#REF!</definedName>
    <definedName name="か" localSheetId="14">#REF!</definedName>
    <definedName name="か" localSheetId="10">#REF!</definedName>
    <definedName name="か">#REF!</definedName>
    <definedName name="く" localSheetId="6">MAX(#REF!)</definedName>
    <definedName name="く" localSheetId="5">MAX(#REF!)</definedName>
    <definedName name="く" localSheetId="13">MAX(#REF!)</definedName>
    <definedName name="く" localSheetId="4">MAX(#REF!)</definedName>
    <definedName name="く" localSheetId="12">MAX(#REF!)</definedName>
    <definedName name="く" localSheetId="0">MAX(#REF!)</definedName>
    <definedName name="く" localSheetId="3">MAX(#REF!)</definedName>
    <definedName name="く" localSheetId="11">MAX(#REF!)</definedName>
    <definedName name="く" localSheetId="14">MAX(#REF!)</definedName>
    <definedName name="く" localSheetId="10">MAX(#REF!)</definedName>
    <definedName name="く">MAX(#REF!)</definedName>
    <definedName name="サクラ" localSheetId="13">#REF!</definedName>
    <definedName name="サクラ" localSheetId="14">#REF!</definedName>
    <definedName name="サクラ">#REF!</definedName>
    <definedName name="さくら" localSheetId="13">#REF!</definedName>
    <definedName name="さくら" localSheetId="14">#REF!</definedName>
    <definedName name="さくら">#REF!</definedName>
    <definedName name="さくら②" localSheetId="14">#REF!</definedName>
    <definedName name="さくら②">#REF!</definedName>
    <definedName name="ふ" localSheetId="13">MONTH(DATEVALUE(#REF!&amp;"/1"))</definedName>
    <definedName name="ふ" localSheetId="12">MONTH(DATEVALUE(#REF!&amp;"/1"))</definedName>
    <definedName name="ふ" localSheetId="14">MONTH(DATEVALUE(#REF!&amp;"/1"))</definedName>
    <definedName name="ふ">MONTH(DATEVALUE(#REF!&amp;"/1"))</definedName>
    <definedName name="ふれあい" localSheetId="13">#REF!</definedName>
    <definedName name="ふれあい" localSheetId="12">#REF!</definedName>
    <definedName name="ふれあい" localSheetId="14">#REF!</definedName>
    <definedName name="ふれあい">#REF!</definedName>
    <definedName name="れ" localSheetId="13">LEFT(RIGHT(#REF!,3),1)</definedName>
    <definedName name="れ" localSheetId="12">LEFT(RIGHT(#REF!,3),1)</definedName>
    <definedName name="れ" localSheetId="14">LEFT(RIGHT(#REF!,3),1)</definedName>
    <definedName name="れ">LEFT(RIGHT(#REF!,3),1)</definedName>
    <definedName name="丘" localSheetId="13">MAX(#REF!)</definedName>
    <definedName name="丘" localSheetId="14">MAX(#REF!)</definedName>
    <definedName name="丘">MAX(#REF!)</definedName>
    <definedName name="佐古" localSheetId="13">#REF!</definedName>
    <definedName name="佐古" localSheetId="12">#REF!</definedName>
    <definedName name="佐古" localSheetId="11">#REF!</definedName>
    <definedName name="佐古" localSheetId="14">#REF!</definedName>
    <definedName name="佐古">#REF!</definedName>
    <definedName name="佐古2" localSheetId="13">MONTH(DATEVALUE(MoMonth&amp;"/1"))</definedName>
    <definedName name="佐古2" localSheetId="12">MONTH(DATEVALUE(MoMonth&amp;"/1"))</definedName>
    <definedName name="佐古2" localSheetId="11">MONTH(DATEVALUE(MoMonth&amp;"/1"))</definedName>
    <definedName name="佐古2" localSheetId="14">MONTH(DATEVALUE(MoMonth&amp;"/1"))</definedName>
    <definedName name="佐古2">MONTH(DATEVALUE(MoMonth&amp;"/1"))</definedName>
    <definedName name="佐古5" localSheetId="13">#REF!</definedName>
    <definedName name="佐古5" localSheetId="12">#REF!</definedName>
    <definedName name="佐古5" localSheetId="11">#REF!</definedName>
    <definedName name="佐古5" localSheetId="14">#REF!</definedName>
    <definedName name="佐古5">#REF!</definedName>
    <definedName name="四宮" localSheetId="6">MAX(#REF!)</definedName>
    <definedName name="四宮" localSheetId="5">MAX(#REF!)</definedName>
    <definedName name="四宮" localSheetId="13">MAX(#REF!)</definedName>
    <definedName name="四宮" localSheetId="4">MAX(#REF!)</definedName>
    <definedName name="四宮" localSheetId="12">MAX(#REF!)</definedName>
    <definedName name="四宮" localSheetId="0">MAX(#REF!)</definedName>
    <definedName name="四宮" localSheetId="3">MAX(#REF!)</definedName>
    <definedName name="四宮" localSheetId="11">MAX(#REF!)</definedName>
    <definedName name="四宮" localSheetId="14">MAX(#REF!)</definedName>
    <definedName name="四宮" localSheetId="10">MAX(#REF!)</definedName>
    <definedName name="四宮">MAX(#REF!)</definedName>
    <definedName name="春日" localSheetId="13">#REF!</definedName>
    <definedName name="春日" localSheetId="12">#REF!</definedName>
    <definedName name="春日" localSheetId="11">#REF!</definedName>
    <definedName name="春日" localSheetId="14">#REF!</definedName>
    <definedName name="春日">#REF!</definedName>
    <definedName name="春日苑" localSheetId="13">#REF!</definedName>
    <definedName name="春日苑" localSheetId="12">#REF!</definedName>
    <definedName name="春日苑" localSheetId="11">#REF!</definedName>
    <definedName name="春日苑" localSheetId="14">#REF!</definedName>
    <definedName name="春日苑">#REF!</definedName>
    <definedName name="春日苑2" localSheetId="13">#REF!</definedName>
    <definedName name="春日苑2" localSheetId="12">#REF!</definedName>
    <definedName name="春日苑2" localSheetId="11">#REF!</definedName>
    <definedName name="春日苑2" localSheetId="14">#REF!</definedName>
    <definedName name="春日苑2">#REF!</definedName>
    <definedName name="春日苑3" localSheetId="13">MONTH(DATEVALUE(MoMonth&amp;"/1"))</definedName>
    <definedName name="春日苑3" localSheetId="12">MONTH(DATEVALUE(MoMonth&amp;"/1"))</definedName>
    <definedName name="春日苑3" localSheetId="14">MONTH(DATEVALUE(MoMonth&amp;"/1"))</definedName>
    <definedName name="春日苑3">MONTH(DATEVALUE(MoMonth&amp;"/1"))</definedName>
    <definedName name="春日苑5" localSheetId="13">#REF!</definedName>
    <definedName name="春日苑5" localSheetId="12">#REF!</definedName>
    <definedName name="春日苑5" localSheetId="11">#REF!</definedName>
    <definedName name="春日苑5" localSheetId="14">#REF!</definedName>
    <definedName name="春日苑5">#REF!</definedName>
    <definedName name="大我" localSheetId="6">#REF!</definedName>
    <definedName name="大我" localSheetId="5">#REF!</definedName>
    <definedName name="大我" localSheetId="13">#REF!</definedName>
    <definedName name="大我" localSheetId="4">#REF!</definedName>
    <definedName name="大我" localSheetId="12">#REF!</definedName>
    <definedName name="大我" localSheetId="0">#REF!</definedName>
    <definedName name="大我" localSheetId="3">#REF!</definedName>
    <definedName name="大我" localSheetId="11">#REF!</definedName>
    <definedName name="大我" localSheetId="14">#REF!</definedName>
    <definedName name="大我" localSheetId="10">#REF!</definedName>
    <definedName name="大我">#REF!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45" l="1"/>
  <c r="D18" i="45"/>
  <c r="D17" i="45"/>
  <c r="D16" i="45"/>
  <c r="D15" i="45"/>
  <c r="D14" i="45"/>
  <c r="D13" i="45"/>
  <c r="D12" i="45"/>
  <c r="A12" i="45"/>
  <c r="A17" i="45" s="1"/>
  <c r="D19" i="17" l="1"/>
  <c r="D18" i="17"/>
  <c r="D16" i="17"/>
  <c r="D12" i="17"/>
  <c r="D19" i="44" l="1"/>
  <c r="D18" i="44"/>
  <c r="D17" i="44"/>
  <c r="D16" i="44"/>
  <c r="D15" i="44"/>
  <c r="D14" i="44"/>
  <c r="D13" i="44"/>
  <c r="D12" i="44"/>
  <c r="D19" i="41"/>
  <c r="D18" i="41"/>
  <c r="D17" i="41"/>
  <c r="D16" i="41"/>
  <c r="D15" i="41"/>
  <c r="D14" i="41"/>
  <c r="D13" i="41"/>
  <c r="D12" i="41"/>
  <c r="D15" i="38" l="1"/>
  <c r="A12" i="44" l="1"/>
  <c r="A12" i="17" l="1"/>
  <c r="A17" i="17" s="1"/>
  <c r="A17" i="25" l="1"/>
  <c r="A17" i="44" l="1"/>
  <c r="A12" i="41" l="1"/>
  <c r="A12" i="13"/>
  <c r="A12" i="38" l="1"/>
  <c r="A17" i="38" s="1"/>
  <c r="A12" i="30"/>
  <c r="A17" i="30" s="1"/>
  <c r="A12" i="15"/>
  <c r="A17" i="15" s="1"/>
  <c r="A12" i="10"/>
  <c r="A17" i="10" s="1"/>
  <c r="A12" i="28"/>
  <c r="A17" i="28" s="1"/>
  <c r="A12" i="27"/>
  <c r="A17" i="27" s="1"/>
  <c r="A12" i="20"/>
  <c r="A17" i="20" s="1"/>
  <c r="A12" i="23"/>
  <c r="A17" i="23" s="1"/>
  <c r="A12" i="12"/>
  <c r="A17" i="12" s="1"/>
  <c r="D19" i="38" l="1"/>
  <c r="D18" i="38"/>
  <c r="D17" i="38"/>
  <c r="D16" i="38"/>
  <c r="D14" i="38"/>
  <c r="D13" i="38"/>
  <c r="D12" i="38"/>
  <c r="D19" i="30"/>
  <c r="D18" i="30"/>
  <c r="D17" i="30"/>
  <c r="D16" i="30"/>
  <c r="D15" i="30"/>
  <c r="D14" i="30"/>
  <c r="D13" i="30"/>
  <c r="D12" i="30"/>
  <c r="D19" i="15"/>
  <c r="D18" i="15"/>
  <c r="D17" i="15"/>
  <c r="D16" i="15"/>
  <c r="D15" i="15"/>
  <c r="D14" i="15"/>
  <c r="D13" i="15"/>
  <c r="D12" i="15"/>
  <c r="D19" i="10"/>
  <c r="D18" i="10"/>
  <c r="D17" i="10"/>
  <c r="D16" i="10"/>
  <c r="D15" i="10"/>
  <c r="D14" i="10"/>
  <c r="D13" i="10"/>
  <c r="D12" i="10"/>
  <c r="D19" i="28"/>
  <c r="D18" i="28"/>
  <c r="D17" i="28"/>
  <c r="D16" i="28"/>
  <c r="D15" i="28"/>
  <c r="D14" i="28"/>
  <c r="D13" i="28"/>
  <c r="D12" i="28"/>
  <c r="D19" i="27"/>
  <c r="D18" i="27"/>
  <c r="D17" i="27"/>
  <c r="D16" i="27"/>
  <c r="D15" i="27"/>
  <c r="D14" i="27"/>
  <c r="D13" i="27"/>
  <c r="D12" i="27"/>
  <c r="D19" i="20"/>
  <c r="D18" i="20"/>
  <c r="D17" i="20"/>
  <c r="D16" i="20"/>
  <c r="D15" i="20"/>
  <c r="D14" i="20"/>
  <c r="D13" i="20"/>
  <c r="D12" i="20"/>
  <c r="D19" i="23"/>
  <c r="D18" i="23"/>
  <c r="D17" i="23"/>
  <c r="D16" i="23"/>
  <c r="D15" i="23"/>
  <c r="D14" i="23"/>
  <c r="D13" i="23"/>
  <c r="D12" i="23"/>
  <c r="D12" i="12"/>
  <c r="D19" i="12"/>
  <c r="D18" i="12"/>
  <c r="D17" i="12"/>
  <c r="D16" i="12"/>
  <c r="D15" i="12"/>
  <c r="D14" i="12"/>
  <c r="D13" i="12"/>
  <c r="D19" i="13"/>
  <c r="D18" i="13"/>
  <c r="D17" i="13"/>
  <c r="D16" i="13"/>
  <c r="D15" i="13"/>
  <c r="D14" i="13"/>
  <c r="D13" i="13"/>
  <c r="D12" i="13"/>
  <c r="A17" i="13"/>
  <c r="A17" i="41"/>
</calcChain>
</file>

<file path=xl/sharedStrings.xml><?xml version="1.0" encoding="utf-8"?>
<sst xmlns="http://schemas.openxmlformats.org/spreadsheetml/2006/main" count="489" uniqueCount="93">
  <si>
    <t>日　付</t>
    <rPh sb="0" eb="1">
      <t>ヒ</t>
    </rPh>
    <rPh sb="2" eb="3">
      <t>ツキ</t>
    </rPh>
    <phoneticPr fontId="17"/>
  </si>
  <si>
    <t>区　分</t>
    <rPh sb="0" eb="1">
      <t>ク</t>
    </rPh>
    <rPh sb="2" eb="3">
      <t>ブン</t>
    </rPh>
    <phoneticPr fontId="17"/>
  </si>
  <si>
    <t>常食</t>
    <rPh sb="0" eb="2">
      <t>ジョウショク</t>
    </rPh>
    <phoneticPr fontId="13"/>
  </si>
  <si>
    <r>
      <rPr>
        <b/>
        <sz val="18"/>
        <rFont val="游ゴシック"/>
        <family val="3"/>
        <charset val="128"/>
        <scheme val="minor"/>
      </rPr>
      <t>禁食　</t>
    </r>
    <r>
      <rPr>
        <sz val="18"/>
        <rFont val="游ゴシック"/>
        <family val="3"/>
        <charset val="128"/>
        <scheme val="minor"/>
      </rPr>
      <t>【　常食　・　小口　】</t>
    </r>
    <rPh sb="0" eb="2">
      <t>キンショク</t>
    </rPh>
    <rPh sb="5" eb="7">
      <t>ジョウショク</t>
    </rPh>
    <rPh sb="10" eb="12">
      <t>コグチ</t>
    </rPh>
    <phoneticPr fontId="13"/>
  </si>
  <si>
    <t>備考欄</t>
    <rPh sb="0" eb="3">
      <t>ビコウラン</t>
    </rPh>
    <phoneticPr fontId="13"/>
  </si>
  <si>
    <t>肉禁</t>
    <rPh sb="0" eb="1">
      <t>ニク</t>
    </rPh>
    <rPh sb="1" eb="2">
      <t>キン</t>
    </rPh>
    <phoneticPr fontId="13"/>
  </si>
  <si>
    <t>魚禁</t>
    <rPh sb="0" eb="1">
      <t>サカナ</t>
    </rPh>
    <rPh sb="1" eb="2">
      <t>キン</t>
    </rPh>
    <phoneticPr fontId="13"/>
  </si>
  <si>
    <t>朝</t>
    <rPh sb="0" eb="1">
      <t>アサ</t>
    </rPh>
    <phoneticPr fontId="17"/>
  </si>
  <si>
    <t>副①</t>
    <rPh sb="0" eb="1">
      <t>フク</t>
    </rPh>
    <phoneticPr fontId="17"/>
  </si>
  <si>
    <t>副②</t>
    <rPh sb="0" eb="1">
      <t>フク</t>
    </rPh>
    <phoneticPr fontId="17"/>
  </si>
  <si>
    <t>昼</t>
    <rPh sb="0" eb="1">
      <t>ヒル</t>
    </rPh>
    <phoneticPr fontId="17"/>
  </si>
  <si>
    <t>主Ａ</t>
    <rPh sb="0" eb="1">
      <t>シュ</t>
    </rPh>
    <phoneticPr fontId="17"/>
  </si>
  <si>
    <t>夕</t>
    <rPh sb="0" eb="1">
      <t>ユウ</t>
    </rPh>
    <phoneticPr fontId="17"/>
  </si>
  <si>
    <t>主</t>
    <rPh sb="0" eb="1">
      <t>シュ</t>
    </rPh>
    <phoneticPr fontId="17"/>
  </si>
  <si>
    <t>【納品書】</t>
    <rPh sb="1" eb="4">
      <t>ノウヒンショ</t>
    </rPh>
    <phoneticPr fontId="10"/>
  </si>
  <si>
    <t>施設名</t>
    <rPh sb="0" eb="2">
      <t>シセツ</t>
    </rPh>
    <rPh sb="2" eb="3">
      <t>メイ</t>
    </rPh>
    <phoneticPr fontId="13"/>
  </si>
  <si>
    <t>シルバーホーム
なごみ</t>
    <phoneticPr fontId="4"/>
  </si>
  <si>
    <t>松岡会
佐古ｸﾞﾙｰﾌﾟﾎｰﾑ</t>
    <rPh sb="0" eb="2">
      <t>マツオカ</t>
    </rPh>
    <rPh sb="2" eb="3">
      <t>カイ</t>
    </rPh>
    <rPh sb="4" eb="6">
      <t>サコ</t>
    </rPh>
    <phoneticPr fontId="4"/>
  </si>
  <si>
    <t>ﾐｷｻｰ</t>
    <phoneticPr fontId="13"/>
  </si>
  <si>
    <t>2F</t>
    <phoneticPr fontId="4"/>
  </si>
  <si>
    <t>3F</t>
    <phoneticPr fontId="4"/>
  </si>
  <si>
    <t>いこいの森
プラス</t>
    <rPh sb="4" eb="5">
      <t>モリ</t>
    </rPh>
    <phoneticPr fontId="4"/>
  </si>
  <si>
    <t>糖尿</t>
    <rPh sb="0" eb="2">
      <t>トウニョウ</t>
    </rPh>
    <phoneticPr fontId="13"/>
  </si>
  <si>
    <t>大和なでしこ
（有料老人ﾎｰﾑ大和）</t>
    <rPh sb="0" eb="2">
      <t>ヤマト</t>
    </rPh>
    <rPh sb="8" eb="10">
      <t>ユウリョウ</t>
    </rPh>
    <rPh sb="10" eb="12">
      <t>ロウジン</t>
    </rPh>
    <rPh sb="15" eb="17">
      <t>ヤマト</t>
    </rPh>
    <phoneticPr fontId="4"/>
  </si>
  <si>
    <t>株式会社アドオンミール</t>
  </si>
  <si>
    <r>
      <t>福岡本社</t>
    </r>
    <r>
      <rPr>
        <b/>
        <sz val="10"/>
        <color rgb="FF222222"/>
        <rFont val="Arial"/>
        <family val="2"/>
      </rPr>
      <t>:</t>
    </r>
    <r>
      <rPr>
        <b/>
        <sz val="10"/>
        <color rgb="FF222222"/>
        <rFont val="游ゴシック"/>
        <family val="3"/>
        <charset val="128"/>
        <scheme val="minor"/>
      </rPr>
      <t>〒</t>
    </r>
    <r>
      <rPr>
        <b/>
        <sz val="10"/>
        <color rgb="FF222222"/>
        <rFont val="Arial"/>
        <family val="2"/>
      </rPr>
      <t>810-0001</t>
    </r>
    <r>
      <rPr>
        <b/>
        <sz val="10"/>
        <color rgb="FF222222"/>
        <rFont val="游ゴシック"/>
        <family val="3"/>
        <charset val="128"/>
        <scheme val="minor"/>
      </rPr>
      <t>　</t>
    </r>
  </si>
  <si>
    <r>
      <t>福岡県福岡市中央区天神２丁目３番１０号　天神パインクレスト</t>
    </r>
    <r>
      <rPr>
        <b/>
        <sz val="10"/>
        <color rgb="FF222222"/>
        <rFont val="Arial"/>
        <family val="2"/>
      </rPr>
      <t>719</t>
    </r>
  </si>
  <si>
    <r>
      <t>東京営業所</t>
    </r>
    <r>
      <rPr>
        <b/>
        <sz val="10"/>
        <color rgb="FF222222"/>
        <rFont val="Arial"/>
        <family val="2"/>
      </rPr>
      <t>:</t>
    </r>
    <r>
      <rPr>
        <b/>
        <sz val="10"/>
        <color rgb="FF222222"/>
        <rFont val="游ゴシック"/>
        <family val="3"/>
        <charset val="128"/>
        <scheme val="minor"/>
      </rPr>
      <t>〒</t>
    </r>
    <r>
      <rPr>
        <b/>
        <sz val="10"/>
        <color rgb="FF222222"/>
        <rFont val="Arial"/>
        <family val="2"/>
      </rPr>
      <t>107-0079</t>
    </r>
  </si>
  <si>
    <r>
      <t>東京都中央区南青山２丁目２番１５号　ウィン青山</t>
    </r>
    <r>
      <rPr>
        <b/>
        <sz val="10"/>
        <color rgb="FF222222"/>
        <rFont val="Arial"/>
        <family val="2"/>
      </rPr>
      <t>942</t>
    </r>
  </si>
  <si>
    <r>
      <t>電話</t>
    </r>
    <r>
      <rPr>
        <b/>
        <sz val="10.5"/>
        <color rgb="FF222222"/>
        <rFont val="Arial"/>
        <family val="2"/>
      </rPr>
      <t>:0120-907-056</t>
    </r>
    <r>
      <rPr>
        <b/>
        <sz val="10.5"/>
        <color rgb="FF222222"/>
        <rFont val="ＭＳ Ｐゴシック"/>
        <family val="3"/>
        <charset val="128"/>
      </rPr>
      <t>　</t>
    </r>
    <r>
      <rPr>
        <b/>
        <sz val="10.5"/>
        <color rgb="FF222222"/>
        <rFont val="Arial"/>
        <family val="2"/>
      </rPr>
      <t>Fax:050-3092-0899</t>
    </r>
  </si>
  <si>
    <t>常食3F</t>
    <rPh sb="0" eb="2">
      <t>ジョウショク</t>
    </rPh>
    <phoneticPr fontId="13"/>
  </si>
  <si>
    <t>常食2F</t>
    <rPh sb="0" eb="2">
      <t>ジョウショク</t>
    </rPh>
    <phoneticPr fontId="13"/>
  </si>
  <si>
    <t>小口</t>
    <rPh sb="0" eb="2">
      <t>コグチ</t>
    </rPh>
    <phoneticPr fontId="13"/>
  </si>
  <si>
    <t>軟菜2F</t>
    <rPh sb="0" eb="1">
      <t>ヤワ</t>
    </rPh>
    <rPh sb="1" eb="2">
      <t>ナ</t>
    </rPh>
    <phoneticPr fontId="13"/>
  </si>
  <si>
    <t>グループホーム
そよかぜ</t>
    <phoneticPr fontId="4"/>
  </si>
  <si>
    <t>./</t>
    <phoneticPr fontId="4"/>
  </si>
  <si>
    <t>./</t>
    <phoneticPr fontId="4"/>
  </si>
  <si>
    <t>松岡会
山城ｸﾞﾙｰﾌﾟﾎｰﾑ</t>
    <rPh sb="0" eb="2">
      <t>マツオカ</t>
    </rPh>
    <rPh sb="2" eb="3">
      <t>カイ</t>
    </rPh>
    <rPh sb="4" eb="6">
      <t>ヤマシロ</t>
    </rPh>
    <phoneticPr fontId="4"/>
  </si>
  <si>
    <t>軟菜3F</t>
    <rPh sb="0" eb="1">
      <t>ヤワ</t>
    </rPh>
    <rPh sb="1" eb="2">
      <t>ナ</t>
    </rPh>
    <phoneticPr fontId="13"/>
  </si>
  <si>
    <r>
      <t xml:space="preserve">ケアハウス
</t>
    </r>
    <r>
      <rPr>
        <b/>
        <sz val="22"/>
        <color theme="1"/>
        <rFont val="游ゴシック"/>
        <family val="3"/>
        <charset val="128"/>
        <scheme val="minor"/>
      </rPr>
      <t>四万十ピア</t>
    </r>
    <rPh sb="6" eb="9">
      <t>シマント</t>
    </rPh>
    <phoneticPr fontId="4"/>
  </si>
  <si>
    <t>軟菜</t>
    <rPh sb="0" eb="1">
      <t>ナン</t>
    </rPh>
    <rPh sb="1" eb="2">
      <t>サイ</t>
    </rPh>
    <phoneticPr fontId="4"/>
  </si>
  <si>
    <t>ミキサー</t>
    <phoneticPr fontId="4"/>
  </si>
  <si>
    <t xml:space="preserve">藍ＴＥＲＲＡＣＥ
</t>
    <rPh sb="0" eb="1">
      <t>アイ</t>
    </rPh>
    <phoneticPr fontId="4"/>
  </si>
  <si>
    <t>池袋病院</t>
    <rPh sb="0" eb="4">
      <t>イケブクロビョウイン</t>
    </rPh>
    <phoneticPr fontId="4"/>
  </si>
  <si>
    <t>軟菜</t>
    <rPh sb="0" eb="2">
      <t>ナンサイ</t>
    </rPh>
    <phoneticPr fontId="13"/>
  </si>
  <si>
    <t>袋分け</t>
    <rPh sb="0" eb="2">
      <t>フクロワ</t>
    </rPh>
    <phoneticPr fontId="4"/>
  </si>
  <si>
    <t>　　　</t>
    <phoneticPr fontId="4"/>
  </si>
  <si>
    <t>メニュー名</t>
    <rPh sb="4" eb="5">
      <t>メイ</t>
    </rPh>
    <phoneticPr fontId="4"/>
  </si>
  <si>
    <t>グランフォレスト方上</t>
    <rPh sb="8" eb="9">
      <t>ホウ</t>
    </rPh>
    <rPh sb="9" eb="10">
      <t>ウエ</t>
    </rPh>
    <phoneticPr fontId="4"/>
  </si>
  <si>
    <t>ゆうゆう株式会社
百々家</t>
    <rPh sb="4" eb="8">
      <t>カブシキガイシャ</t>
    </rPh>
    <rPh sb="9" eb="11">
      <t>モモ</t>
    </rPh>
    <rPh sb="11" eb="12">
      <t>イエ</t>
    </rPh>
    <phoneticPr fontId="4"/>
  </si>
  <si>
    <t>軟菜</t>
    <rPh sb="0" eb="1">
      <t>ナン</t>
    </rPh>
    <rPh sb="1" eb="2">
      <t>サイ</t>
    </rPh>
    <phoneticPr fontId="13"/>
  </si>
  <si>
    <t>花</t>
    <rPh sb="0" eb="1">
      <t>ハナ</t>
    </rPh>
    <phoneticPr fontId="4"/>
  </si>
  <si>
    <t>月</t>
    <rPh sb="0" eb="1">
      <t>ツキ</t>
    </rPh>
    <phoneticPr fontId="4"/>
  </si>
  <si>
    <t>ミキサー</t>
    <phoneticPr fontId="13"/>
  </si>
  <si>
    <t>グループホーム
春日苑　松茂</t>
    <phoneticPr fontId="4"/>
  </si>
  <si>
    <t>魚禁
(常食)</t>
    <rPh sb="0" eb="2">
      <t>サカナキン</t>
    </rPh>
    <rPh sb="4" eb="5">
      <t>ツネ</t>
    </rPh>
    <rPh sb="5" eb="6">
      <t>ショク</t>
    </rPh>
    <phoneticPr fontId="4"/>
  </si>
  <si>
    <t>v</t>
    <phoneticPr fontId="4"/>
  </si>
  <si>
    <t xml:space="preserve">介護老人保健施設
ふれあいの丘
</t>
    <rPh sb="0" eb="8">
      <t>カイゴロウジンホケンシセツ</t>
    </rPh>
    <rPh sb="14" eb="15">
      <t>オカ</t>
    </rPh>
    <phoneticPr fontId="4"/>
  </si>
  <si>
    <t>通所</t>
    <rPh sb="0" eb="2">
      <t>ツウショ</t>
    </rPh>
    <phoneticPr fontId="4"/>
  </si>
  <si>
    <t>職員</t>
    <rPh sb="0" eb="2">
      <t>ショクイン</t>
    </rPh>
    <phoneticPr fontId="4"/>
  </si>
  <si>
    <t>禁食</t>
    <rPh sb="0" eb="2">
      <t>キンショク</t>
    </rPh>
    <phoneticPr fontId="13"/>
  </si>
  <si>
    <t>保管温度</t>
    <rPh sb="0" eb="2">
      <t>ホカン</t>
    </rPh>
    <rPh sb="2" eb="4">
      <t>オンド</t>
    </rPh>
    <phoneticPr fontId="4"/>
  </si>
  <si>
    <t>賞味期限</t>
    <rPh sb="0" eb="4">
      <t>ショウミキゲン</t>
    </rPh>
    <phoneticPr fontId="4"/>
  </si>
  <si>
    <t xml:space="preserve"> </t>
    <phoneticPr fontId="4"/>
  </si>
  <si>
    <t>メディカルフーズ
湘南さくら病院</t>
    <rPh sb="9" eb="11">
      <t>ショウナン</t>
    </rPh>
    <rPh sb="14" eb="16">
      <t>ビョウイン</t>
    </rPh>
    <phoneticPr fontId="4"/>
  </si>
  <si>
    <t>通常</t>
    <rPh sb="0" eb="2">
      <t>ツウジョウ</t>
    </rPh>
    <phoneticPr fontId="4"/>
  </si>
  <si>
    <t>常食</t>
    <rPh sb="0" eb="1">
      <t>ツネ</t>
    </rPh>
    <rPh sb="1" eb="2">
      <t>ショク</t>
    </rPh>
    <phoneticPr fontId="13"/>
  </si>
  <si>
    <t>ｺﾞﾏ禁</t>
    <rPh sb="3" eb="4">
      <t>キン</t>
    </rPh>
    <phoneticPr fontId="13"/>
  </si>
  <si>
    <t>　</t>
    <phoneticPr fontId="4"/>
  </si>
  <si>
    <t>魚禁</t>
    <rPh sb="0" eb="1">
      <t>サカナ</t>
    </rPh>
    <rPh sb="1" eb="2">
      <t>キン</t>
    </rPh>
    <phoneticPr fontId="4"/>
  </si>
  <si>
    <r>
      <t>東京都中央区南青山２丁目２番１５号　ウィン青山</t>
    </r>
    <r>
      <rPr>
        <b/>
        <sz val="10"/>
        <color rgb="FF222222"/>
        <rFont val="Arial"/>
        <family val="2"/>
      </rPr>
      <t>942</t>
    </r>
    <phoneticPr fontId="4"/>
  </si>
  <si>
    <r>
      <t>福岡県福岡市中央区天神２丁目３番１０号　天神パインクレスト</t>
    </r>
    <r>
      <rPr>
        <b/>
        <sz val="10"/>
        <color rgb="FF222222"/>
        <rFont val="Arial"/>
        <family val="2"/>
      </rPr>
      <t>719</t>
    </r>
    <phoneticPr fontId="4"/>
  </si>
  <si>
    <t>その他</t>
    <rPh sb="2" eb="3">
      <t>ホカ</t>
    </rPh>
    <phoneticPr fontId="4"/>
  </si>
  <si>
    <t>ケアホーム
長生苑</t>
    <rPh sb="6" eb="7">
      <t>ナガ</t>
    </rPh>
    <rPh sb="7" eb="8">
      <t>イ</t>
    </rPh>
    <rPh sb="8" eb="9">
      <t>エン</t>
    </rPh>
    <phoneticPr fontId="4"/>
  </si>
  <si>
    <r>
      <rPr>
        <b/>
        <sz val="18"/>
        <rFont val="游ゴシック"/>
        <family val="3"/>
        <charset val="128"/>
        <scheme val="minor"/>
      </rPr>
      <t>禁食　</t>
    </r>
    <r>
      <rPr>
        <sz val="18"/>
        <rFont val="游ゴシック"/>
        <family val="3"/>
        <charset val="128"/>
        <scheme val="minor"/>
      </rPr>
      <t>【　常食　・　ミキサー　】</t>
    </r>
    <rPh sb="0" eb="2">
      <t>キンショク</t>
    </rPh>
    <rPh sb="5" eb="7">
      <t>ジョウショク</t>
    </rPh>
    <phoneticPr fontId="13"/>
  </si>
  <si>
    <t>ｲﾝｹﾞﾝのﾂﾅ和え</t>
    <rPh sb="8" eb="9">
      <t>ア</t>
    </rPh>
    <phoneticPr fontId="4"/>
  </si>
  <si>
    <t>鶏肉のレモン炒め</t>
    <rPh sb="0" eb="2">
      <t>トリニク</t>
    </rPh>
    <rPh sb="6" eb="7">
      <t>イタ</t>
    </rPh>
    <phoneticPr fontId="4"/>
  </si>
  <si>
    <t>里芋の土佐煮</t>
    <rPh sb="0" eb="2">
      <t>サトイモ</t>
    </rPh>
    <rPh sb="3" eb="6">
      <t>トサニ</t>
    </rPh>
    <phoneticPr fontId="4"/>
  </si>
  <si>
    <t>豚肉のｶﾞｰﾘｯｸｿﾃｰ</t>
    <rPh sb="0" eb="2">
      <t>ブタニク</t>
    </rPh>
    <phoneticPr fontId="4"/>
  </si>
  <si>
    <t>ごぼうと竹輪の煮物</t>
    <rPh sb="4" eb="6">
      <t>チクワ</t>
    </rPh>
    <rPh sb="7" eb="9">
      <t>ニモノ</t>
    </rPh>
    <phoneticPr fontId="4"/>
  </si>
  <si>
    <t>いんげんの味噌和え</t>
    <rPh sb="5" eb="8">
      <t>ミソア</t>
    </rPh>
    <phoneticPr fontId="4"/>
  </si>
  <si>
    <t>豚肉と白菜のすき煮</t>
    <rPh sb="0" eb="2">
      <t>ブタニク</t>
    </rPh>
    <rPh sb="3" eb="5">
      <t>ハクサイ</t>
    </rPh>
    <rPh sb="8" eb="9">
      <t>ニ</t>
    </rPh>
    <phoneticPr fontId="4"/>
  </si>
  <si>
    <t>さつま芋の天ぷら</t>
    <rPh sb="3" eb="4">
      <t>イモ</t>
    </rPh>
    <rPh sb="5" eb="6">
      <t>テン</t>
    </rPh>
    <phoneticPr fontId="4"/>
  </si>
  <si>
    <t>ﾌﾞﾛｯｺﾘｰのちりめん和え</t>
    <rPh sb="12" eb="13">
      <t>ア</t>
    </rPh>
    <phoneticPr fontId="4"/>
  </si>
  <si>
    <t>煮込みハンバーグ</t>
    <rPh sb="0" eb="2">
      <t>ニコ</t>
    </rPh>
    <phoneticPr fontId="4"/>
  </si>
  <si>
    <t>ジャーマンポテト</t>
    <phoneticPr fontId="4"/>
  </si>
  <si>
    <t>ほうれん草の和え物</t>
    <rPh sb="4" eb="5">
      <t>ソウ</t>
    </rPh>
    <rPh sb="6" eb="7">
      <t>ア</t>
    </rPh>
    <rPh sb="8" eb="9">
      <t>モノ</t>
    </rPh>
    <phoneticPr fontId="4"/>
  </si>
  <si>
    <t>揚げ物8</t>
    <rPh sb="0" eb="1">
      <t>ア</t>
    </rPh>
    <rPh sb="2" eb="3">
      <t>モノ</t>
    </rPh>
    <phoneticPr fontId="4"/>
  </si>
  <si>
    <t>魚2、鶏魚1</t>
    <rPh sb="0" eb="1">
      <t>サカナ</t>
    </rPh>
    <rPh sb="3" eb="5">
      <t>トリサカナ</t>
    </rPh>
    <phoneticPr fontId="4"/>
  </si>
  <si>
    <t>揚げ禁1</t>
    <rPh sb="0" eb="1">
      <t>ア</t>
    </rPh>
    <rPh sb="2" eb="3">
      <t>キン</t>
    </rPh>
    <phoneticPr fontId="4"/>
  </si>
  <si>
    <t>肉1</t>
    <rPh sb="0" eb="1">
      <t>ニク</t>
    </rPh>
    <phoneticPr fontId="4"/>
  </si>
  <si>
    <t>肉1</t>
    <rPh sb="0" eb="1">
      <t>ニク</t>
    </rPh>
    <phoneticPr fontId="4"/>
  </si>
  <si>
    <t>鶏魚1</t>
    <rPh sb="0" eb="2">
      <t>トリサカナ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</si>
</sst>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;@"/>
    <numFmt numFmtId="177" formatCode="0_ "/>
  </numFmts>
  <fonts count="32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8"/>
      <name val="游ゴシック"/>
      <family val="3"/>
      <charset val="128"/>
      <scheme val="minor"/>
    </font>
    <font>
      <sz val="18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b/>
      <sz val="24"/>
      <color theme="1"/>
      <name val="游ゴシック"/>
      <family val="3"/>
      <charset val="128"/>
      <scheme val="minor"/>
    </font>
    <font>
      <sz val="6"/>
      <name val="ＭＳ ゴシック"/>
      <family val="3"/>
      <charset val="128"/>
    </font>
    <font>
      <sz val="18"/>
      <color theme="1"/>
      <name val="游ゴシック"/>
      <family val="3"/>
      <charset val="128"/>
      <scheme val="minor"/>
    </font>
    <font>
      <b/>
      <sz val="26"/>
      <color rgb="FF000000"/>
      <name val="BIZ UDP明朝 Medium"/>
      <family val="1"/>
      <charset val="128"/>
    </font>
    <font>
      <sz val="6"/>
      <name val="游ゴシック"/>
      <family val="3"/>
      <charset val="128"/>
      <scheme val="minor"/>
    </font>
    <font>
      <b/>
      <sz val="22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b/>
      <u/>
      <sz val="16"/>
      <color theme="1"/>
      <name val="游ゴシック"/>
      <family val="3"/>
      <charset val="128"/>
      <scheme val="minor"/>
    </font>
    <font>
      <b/>
      <sz val="26"/>
      <name val="游ゴシック"/>
      <family val="3"/>
      <charset val="128"/>
      <scheme val="minor"/>
    </font>
    <font>
      <sz val="24"/>
      <name val="游ゴシック"/>
      <family val="3"/>
      <charset val="128"/>
      <scheme val="minor"/>
    </font>
    <font>
      <b/>
      <sz val="18"/>
      <color theme="1"/>
      <name val="游ゴシック"/>
      <family val="3"/>
      <charset val="128"/>
      <scheme val="minor"/>
    </font>
    <font>
      <b/>
      <sz val="18"/>
      <color rgb="FF222222"/>
      <name val="游ゴシック"/>
      <family val="3"/>
      <charset val="128"/>
      <scheme val="minor"/>
    </font>
    <font>
      <b/>
      <sz val="10"/>
      <color rgb="FF222222"/>
      <name val="游ゴシック"/>
      <family val="3"/>
      <charset val="128"/>
      <scheme val="minor"/>
    </font>
    <font>
      <b/>
      <sz val="10"/>
      <color rgb="FF222222"/>
      <name val="Arial"/>
      <family val="2"/>
    </font>
    <font>
      <b/>
      <sz val="10"/>
      <color rgb="FF222222"/>
      <name val="ＭＳ Ｐゴシック"/>
      <family val="3"/>
      <charset val="128"/>
    </font>
    <font>
      <b/>
      <sz val="10.5"/>
      <color rgb="FF222222"/>
      <name val="Arial"/>
      <family val="2"/>
    </font>
    <font>
      <b/>
      <sz val="10.5"/>
      <color rgb="FF222222"/>
      <name val="ＭＳ Ｐゴシック"/>
      <family val="3"/>
      <charset val="128"/>
    </font>
    <font>
      <sz val="12"/>
      <color theme="1"/>
      <name val="游ゴシック"/>
      <family val="3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6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</cellStyleXfs>
  <cellXfs count="290">
    <xf numFmtId="0" fontId="0" fillId="0" borderId="0" xfId="0">
      <alignment vertical="center"/>
    </xf>
    <xf numFmtId="0" fontId="8" fillId="0" borderId="0" xfId="1" applyFont="1">
      <alignment vertical="center"/>
    </xf>
    <xf numFmtId="0" fontId="11" fillId="0" borderId="0" xfId="1" applyFont="1" applyAlignment="1">
      <alignment horizontal="center" vertical="center"/>
    </xf>
    <xf numFmtId="0" fontId="3" fillId="0" borderId="2" xfId="1" applyFont="1" applyBorder="1" applyAlignment="1">
      <alignment horizontal="center" vertical="center" textRotation="255" shrinkToFit="1"/>
    </xf>
    <xf numFmtId="0" fontId="11" fillId="0" borderId="20" xfId="1" applyFont="1" applyBorder="1" applyAlignment="1">
      <alignment horizontal="center" vertical="center"/>
    </xf>
    <xf numFmtId="0" fontId="11" fillId="2" borderId="5" xfId="1" applyFont="1" applyFill="1" applyBorder="1" applyAlignment="1">
      <alignment horizontal="center" vertical="center"/>
    </xf>
    <xf numFmtId="0" fontId="6" fillId="0" borderId="21" xfId="1" applyFont="1" applyBorder="1" applyAlignment="1">
      <alignment vertical="center" shrinkToFit="1"/>
    </xf>
    <xf numFmtId="0" fontId="6" fillId="0" borderId="22" xfId="1" applyFont="1" applyBorder="1" applyAlignment="1">
      <alignment vertical="center" shrinkToFit="1"/>
    </xf>
    <xf numFmtId="0" fontId="11" fillId="0" borderId="25" xfId="1" applyFont="1" applyBorder="1" applyAlignment="1">
      <alignment horizontal="center" vertical="center"/>
    </xf>
    <xf numFmtId="0" fontId="11" fillId="2" borderId="26" xfId="1" applyFont="1" applyFill="1" applyBorder="1" applyAlignment="1">
      <alignment horizontal="center" vertical="center"/>
    </xf>
    <xf numFmtId="0" fontId="6" fillId="0" borderId="28" xfId="1" applyFont="1" applyBorder="1" applyAlignment="1">
      <alignment vertical="center" shrinkToFit="1"/>
    </xf>
    <xf numFmtId="0" fontId="6" fillId="0" borderId="29" xfId="1" applyFont="1" applyBorder="1" applyAlignment="1">
      <alignment vertical="center" shrinkToFit="1"/>
    </xf>
    <xf numFmtId="0" fontId="11" fillId="0" borderId="31" xfId="1" applyFont="1" applyBorder="1" applyAlignment="1">
      <alignment horizontal="center" vertical="center"/>
    </xf>
    <xf numFmtId="0" fontId="11" fillId="2" borderId="32" xfId="1" applyFont="1" applyFill="1" applyBorder="1" applyAlignment="1">
      <alignment horizontal="center" vertical="center"/>
    </xf>
    <xf numFmtId="0" fontId="11" fillId="2" borderId="10" xfId="1" applyFont="1" applyFill="1" applyBorder="1" applyAlignment="1">
      <alignment horizontal="center" vertical="center"/>
    </xf>
    <xf numFmtId="0" fontId="6" fillId="0" borderId="34" xfId="1" applyFont="1" applyBorder="1" applyAlignment="1">
      <alignment vertical="center" shrinkToFit="1"/>
    </xf>
    <xf numFmtId="0" fontId="11" fillId="2" borderId="25" xfId="1" applyFont="1" applyFill="1" applyBorder="1" applyAlignment="1">
      <alignment horizontal="center" vertical="center"/>
    </xf>
    <xf numFmtId="0" fontId="6" fillId="0" borderId="35" xfId="1" applyFont="1" applyBorder="1" applyAlignment="1">
      <alignment vertical="center" shrinkToFit="1"/>
    </xf>
    <xf numFmtId="0" fontId="6" fillId="0" borderId="36" xfId="1" applyFont="1" applyBorder="1" applyAlignment="1">
      <alignment vertical="center" shrinkToFit="1"/>
    </xf>
    <xf numFmtId="0" fontId="11" fillId="0" borderId="27" xfId="1" applyFont="1" applyBorder="1" applyAlignment="1">
      <alignment horizontal="center" vertical="center"/>
    </xf>
    <xf numFmtId="0" fontId="11" fillId="2" borderId="27" xfId="1" applyFont="1" applyFill="1" applyBorder="1" applyAlignment="1">
      <alignment horizontal="center" vertical="center"/>
    </xf>
    <xf numFmtId="0" fontId="6" fillId="0" borderId="39" xfId="1" applyFont="1" applyBorder="1" applyAlignment="1">
      <alignment vertical="center" shrinkToFit="1"/>
    </xf>
    <xf numFmtId="0" fontId="6" fillId="0" borderId="40" xfId="1" applyFont="1" applyBorder="1" applyAlignment="1">
      <alignment vertical="center" shrinkToFit="1"/>
    </xf>
    <xf numFmtId="0" fontId="11" fillId="2" borderId="31" xfId="1" applyFont="1" applyFill="1" applyBorder="1" applyAlignment="1">
      <alignment horizontal="center" vertical="center"/>
    </xf>
    <xf numFmtId="0" fontId="11" fillId="2" borderId="41" xfId="1" applyFont="1" applyFill="1" applyBorder="1" applyAlignment="1">
      <alignment horizontal="center" vertical="center"/>
    </xf>
    <xf numFmtId="0" fontId="11" fillId="2" borderId="17" xfId="1" applyFont="1" applyFill="1" applyBorder="1" applyAlignment="1">
      <alignment horizontal="center" vertical="center"/>
    </xf>
    <xf numFmtId="0" fontId="6" fillId="0" borderId="44" xfId="1" applyFont="1" applyBorder="1" applyAlignment="1">
      <alignment vertical="center" shrinkToFit="1"/>
    </xf>
    <xf numFmtId="0" fontId="6" fillId="0" borderId="45" xfId="1" applyFont="1" applyBorder="1" applyAlignment="1">
      <alignment vertical="center" shrinkToFit="1"/>
    </xf>
    <xf numFmtId="0" fontId="3" fillId="0" borderId="0" xfId="1" applyFont="1" applyAlignment="1">
      <alignment horizontal="center" vertical="center"/>
    </xf>
    <xf numFmtId="0" fontId="7" fillId="0" borderId="2" xfId="1" applyFont="1" applyBorder="1" applyAlignment="1">
      <alignment horizontal="left" vertical="center"/>
    </xf>
    <xf numFmtId="0" fontId="3" fillId="0" borderId="0" xfId="1" applyFont="1" applyAlignment="1">
      <alignment horizontal="center" vertical="center" textRotation="255" shrinkToFit="1"/>
    </xf>
    <xf numFmtId="0" fontId="7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15" fillId="0" borderId="0" xfId="1" applyFont="1" applyAlignment="1">
      <alignment horizontal="center"/>
    </xf>
    <xf numFmtId="0" fontId="16" fillId="0" borderId="0" xfId="1" applyFont="1" applyAlignment="1">
      <alignment horizontal="center" vertical="center" shrinkToFit="1"/>
    </xf>
    <xf numFmtId="0" fontId="15" fillId="0" borderId="2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 shrinkToFit="1"/>
    </xf>
    <xf numFmtId="0" fontId="8" fillId="0" borderId="0" xfId="1" applyFont="1" applyAlignment="1">
      <alignment horizontal="center" vertical="center"/>
    </xf>
    <xf numFmtId="0" fontId="11" fillId="0" borderId="17" xfId="1" applyFont="1" applyBorder="1" applyAlignment="1">
      <alignment horizontal="center" vertical="center" shrinkToFit="1"/>
    </xf>
    <xf numFmtId="0" fontId="7" fillId="0" borderId="0" xfId="1" applyFont="1" applyAlignment="1">
      <alignment horizontal="left" vertical="center"/>
    </xf>
    <xf numFmtId="0" fontId="11" fillId="0" borderId="17" xfId="1" applyFont="1" applyBorder="1" applyAlignment="1">
      <alignment horizontal="center" vertical="center"/>
    </xf>
    <xf numFmtId="0" fontId="18" fillId="0" borderId="0" xfId="1" applyFont="1" applyAlignment="1">
      <alignment horizontal="left" vertical="center" wrapText="1"/>
    </xf>
    <xf numFmtId="0" fontId="7" fillId="0" borderId="0" xfId="1" applyFont="1" applyAlignment="1">
      <alignment horizontal="left" vertical="center"/>
    </xf>
    <xf numFmtId="0" fontId="11" fillId="0" borderId="17" xfId="1" applyFont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14" fillId="0" borderId="0" xfId="1" applyFont="1" applyBorder="1" applyAlignment="1">
      <alignment horizontal="center" vertical="center" wrapText="1"/>
    </xf>
    <xf numFmtId="0" fontId="18" fillId="0" borderId="0" xfId="1" applyFont="1" applyAlignment="1">
      <alignment horizontal="left" vertical="center" wrapText="1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5" fillId="0" borderId="0" xfId="0" applyFont="1">
      <alignment vertical="center"/>
    </xf>
    <xf numFmtId="0" fontId="27" fillId="0" borderId="0" xfId="0" applyFont="1">
      <alignment vertical="center"/>
    </xf>
    <xf numFmtId="0" fontId="12" fillId="0" borderId="0" xfId="1" applyFont="1" applyAlignment="1">
      <alignment vertical="center"/>
    </xf>
    <xf numFmtId="0" fontId="19" fillId="0" borderId="0" xfId="1" applyFont="1" applyAlignment="1">
      <alignment vertical="center"/>
    </xf>
    <xf numFmtId="0" fontId="11" fillId="0" borderId="17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8" fillId="0" borderId="0" xfId="1" applyFont="1" applyAlignment="1">
      <alignment horizontal="left" vertical="center" wrapText="1"/>
    </xf>
    <xf numFmtId="0" fontId="21" fillId="0" borderId="0" xfId="1" applyFont="1" applyBorder="1" applyAlignment="1">
      <alignment horizontal="center" vertical="center" wrapText="1"/>
    </xf>
    <xf numFmtId="0" fontId="11" fillId="0" borderId="32" xfId="1" applyFont="1" applyBorder="1" applyAlignment="1">
      <alignment horizontal="center" vertical="center"/>
    </xf>
    <xf numFmtId="0" fontId="11" fillId="0" borderId="26" xfId="1" applyFont="1" applyBorder="1" applyAlignment="1">
      <alignment horizontal="center" vertical="center"/>
    </xf>
    <xf numFmtId="0" fontId="11" fillId="0" borderId="21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 shrinkToFit="1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8" fillId="0" borderId="0" xfId="1" applyFont="1" applyAlignment="1">
      <alignment horizontal="left" vertical="center" wrapText="1"/>
    </xf>
    <xf numFmtId="0" fontId="11" fillId="0" borderId="17" xfId="1" applyFont="1" applyBorder="1" applyAlignment="1">
      <alignment horizontal="center" vertical="center" shrinkToFit="1"/>
    </xf>
    <xf numFmtId="0" fontId="11" fillId="0" borderId="17" xfId="1" applyFont="1" applyBorder="1" applyAlignment="1">
      <alignment horizontal="center" vertical="center"/>
    </xf>
    <xf numFmtId="0" fontId="6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9" fillId="0" borderId="0" xfId="1" applyFont="1">
      <alignment vertical="center"/>
    </xf>
    <xf numFmtId="0" fontId="14" fillId="0" borderId="0" xfId="1" applyFont="1" applyBorder="1" applyAlignment="1">
      <alignment vertical="center" wrapText="1"/>
    </xf>
    <xf numFmtId="0" fontId="21" fillId="0" borderId="0" xfId="1" applyFont="1" applyBorder="1" applyAlignment="1">
      <alignment vertical="center" wrapText="1"/>
    </xf>
    <xf numFmtId="0" fontId="28" fillId="0" borderId="48" xfId="1" applyFont="1" applyBorder="1" applyAlignment="1">
      <alignment horizontal="center" vertical="center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6" fillId="0" borderId="26" xfId="1" applyFont="1" applyBorder="1">
      <alignment vertical="center"/>
    </xf>
    <xf numFmtId="0" fontId="11" fillId="0" borderId="17" xfId="1" applyFont="1" applyBorder="1" applyAlignment="1">
      <alignment horizontal="center" vertical="center"/>
    </xf>
    <xf numFmtId="0" fontId="28" fillId="0" borderId="49" xfId="1" applyFont="1" applyBorder="1" applyAlignment="1">
      <alignment horizontal="center" vertical="center"/>
    </xf>
    <xf numFmtId="0" fontId="11" fillId="0" borderId="39" xfId="1" applyFont="1" applyBorder="1" applyAlignment="1">
      <alignment horizontal="center" vertical="center" shrinkToFit="1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17" xfId="1" applyFont="1" applyBorder="1" applyAlignment="1">
      <alignment horizontal="center" vertical="center" shrinkToFit="1"/>
    </xf>
    <xf numFmtId="0" fontId="6" fillId="2" borderId="10" xfId="1" applyFont="1" applyFill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6" fillId="0" borderId="46" xfId="1" applyFont="1" applyBorder="1" applyAlignment="1">
      <alignment vertical="center" shrinkToFit="1"/>
    </xf>
    <xf numFmtId="0" fontId="6" fillId="0" borderId="49" xfId="1" applyFont="1" applyBorder="1" applyAlignment="1">
      <alignment vertical="center" shrinkToFit="1"/>
    </xf>
    <xf numFmtId="0" fontId="6" fillId="0" borderId="53" xfId="1" applyFont="1" applyBorder="1" applyAlignment="1">
      <alignment vertical="center" shrinkToFit="1"/>
    </xf>
    <xf numFmtId="0" fontId="11" fillId="2" borderId="25" xfId="1" applyFont="1" applyFill="1" applyBorder="1" applyAlignment="1">
      <alignment horizontal="center" vertical="center" shrinkToFit="1"/>
    </xf>
    <xf numFmtId="0" fontId="11" fillId="2" borderId="10" xfId="1" applyFont="1" applyFill="1" applyBorder="1" applyAlignment="1">
      <alignment horizontal="center" vertical="center" shrinkToFit="1"/>
    </xf>
    <xf numFmtId="0" fontId="28" fillId="0" borderId="0" xfId="1" applyFont="1" applyBorder="1" applyAlignment="1">
      <alignment horizontal="center" vertical="center" shrinkToFit="1"/>
    </xf>
    <xf numFmtId="0" fontId="28" fillId="0" borderId="47" xfId="1" applyFont="1" applyBorder="1" applyAlignment="1">
      <alignment horizontal="center" vertical="center" shrinkToFit="1"/>
    </xf>
    <xf numFmtId="0" fontId="11" fillId="2" borderId="32" xfId="1" applyFont="1" applyFill="1" applyBorder="1" applyAlignment="1">
      <alignment horizontal="center" vertical="center" shrinkToFit="1"/>
    </xf>
    <xf numFmtId="0" fontId="30" fillId="0" borderId="0" xfId="1" applyFont="1" applyAlignment="1">
      <alignment horizontal="center"/>
    </xf>
    <xf numFmtId="0" fontId="16" fillId="0" borderId="0" xfId="1" applyFont="1" applyAlignment="1">
      <alignment horizontal="center"/>
    </xf>
    <xf numFmtId="0" fontId="11" fillId="2" borderId="41" xfId="1" applyFont="1" applyFill="1" applyBorder="1" applyAlignment="1">
      <alignment horizontal="center" vertical="center" shrinkToFit="1"/>
    </xf>
    <xf numFmtId="0" fontId="28" fillId="0" borderId="48" xfId="1" applyFont="1" applyBorder="1" applyAlignment="1">
      <alignment horizontal="center" vertical="center" shrinkToFit="1"/>
    </xf>
    <xf numFmtId="0" fontId="28" fillId="0" borderId="2" xfId="1" applyFont="1" applyBorder="1" applyAlignment="1">
      <alignment horizontal="center" vertical="center" shrinkToFit="1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0" fontId="11" fillId="2" borderId="5" xfId="1" applyFont="1" applyFill="1" applyBorder="1" applyAlignment="1">
      <alignment horizontal="center" vertical="center" shrinkToFit="1"/>
    </xf>
    <xf numFmtId="0" fontId="11" fillId="2" borderId="26" xfId="1" applyFont="1" applyFill="1" applyBorder="1" applyAlignment="1">
      <alignment horizontal="center" vertical="center" shrinkToFit="1"/>
    </xf>
    <xf numFmtId="0" fontId="11" fillId="2" borderId="27" xfId="1" applyFont="1" applyFill="1" applyBorder="1" applyAlignment="1">
      <alignment horizontal="center" vertical="center" shrinkToFit="1"/>
    </xf>
    <xf numFmtId="0" fontId="11" fillId="2" borderId="31" xfId="1" applyFont="1" applyFill="1" applyBorder="1" applyAlignment="1">
      <alignment horizontal="center" vertical="center" shrinkToFit="1"/>
    </xf>
    <xf numFmtId="0" fontId="11" fillId="2" borderId="17" xfId="1" applyFont="1" applyFill="1" applyBorder="1" applyAlignment="1">
      <alignment horizontal="center" vertical="center" shrinkToFit="1"/>
    </xf>
    <xf numFmtId="0" fontId="28" fillId="0" borderId="46" xfId="1" applyFont="1" applyBorder="1" applyAlignment="1">
      <alignment horizontal="center" vertical="center" shrinkToFit="1"/>
    </xf>
    <xf numFmtId="0" fontId="28" fillId="0" borderId="49" xfId="1" applyFont="1" applyBorder="1" applyAlignment="1">
      <alignment horizontal="center" vertical="center" shrinkToFit="1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34" xfId="1" applyFont="1" applyBorder="1" applyAlignment="1">
      <alignment horizontal="center" vertical="center" shrinkToFit="1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177" fontId="6" fillId="0" borderId="0" xfId="1" applyNumberFormat="1" applyFont="1">
      <alignment vertical="center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8" fillId="0" borderId="0" xfId="1" applyFont="1" applyAlignment="1">
      <alignment horizontal="left" vertical="center" wrapText="1"/>
    </xf>
    <xf numFmtId="0" fontId="6" fillId="0" borderId="35" xfId="1" applyFont="1" applyBorder="1" applyAlignment="1">
      <alignment vertical="center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0" fontId="6" fillId="0" borderId="33" xfId="1" applyFont="1" applyBorder="1" applyAlignment="1">
      <alignment vertical="center" shrinkToFit="1"/>
    </xf>
    <xf numFmtId="0" fontId="11" fillId="0" borderId="60" xfId="1" applyFont="1" applyBorder="1" applyAlignment="1">
      <alignment horizontal="center" vertical="center"/>
    </xf>
    <xf numFmtId="0" fontId="6" fillId="0" borderId="34" xfId="1" applyFont="1" applyBorder="1" applyAlignment="1">
      <alignment horizontal="center" vertical="center" shrinkToFit="1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61" xfId="1" applyFont="1" applyBorder="1" applyAlignment="1">
      <alignment horizontal="center" vertical="center" shrinkToFit="1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1" fillId="0" borderId="5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38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6" fillId="0" borderId="44" xfId="1" applyFont="1" applyBorder="1" applyAlignment="1">
      <alignment vertical="center" shrinkToFit="1"/>
    </xf>
    <xf numFmtId="0" fontId="6" fillId="0" borderId="35" xfId="1" applyFont="1" applyBorder="1" applyAlignment="1">
      <alignment vertical="center" shrinkToFit="1"/>
    </xf>
    <xf numFmtId="0" fontId="6" fillId="0" borderId="39" xfId="1" applyFont="1" applyBorder="1" applyAlignment="1">
      <alignment vertical="center" shrinkToFit="1"/>
    </xf>
    <xf numFmtId="0" fontId="6" fillId="0" borderId="40" xfId="1" applyFont="1" applyBorder="1" applyAlignment="1">
      <alignment vertical="center" shrinkToFit="1"/>
    </xf>
    <xf numFmtId="0" fontId="6" fillId="0" borderId="23" xfId="1" applyFont="1" applyBorder="1" applyAlignment="1">
      <alignment horizontal="center" vertical="center" shrinkToFit="1"/>
    </xf>
    <xf numFmtId="0" fontId="6" fillId="0" borderId="42" xfId="1" applyFont="1" applyBorder="1" applyAlignment="1">
      <alignment horizontal="center" vertical="center" shrinkToFit="1"/>
    </xf>
    <xf numFmtId="0" fontId="5" fillId="0" borderId="30" xfId="1" applyBorder="1" applyAlignment="1">
      <alignment horizontal="center" vertical="center"/>
    </xf>
    <xf numFmtId="0" fontId="5" fillId="0" borderId="37" xfId="1" applyBorder="1" applyAlignment="1">
      <alignment horizontal="center" vertical="center"/>
    </xf>
    <xf numFmtId="0" fontId="5" fillId="0" borderId="43" xfId="1" applyBorder="1" applyAlignment="1">
      <alignment horizontal="center" vertical="center"/>
    </xf>
    <xf numFmtId="0" fontId="3" fillId="0" borderId="5" xfId="1" applyFont="1" applyBorder="1" applyAlignment="1">
      <alignment horizontal="center" vertical="center" textRotation="255" shrinkToFit="1"/>
    </xf>
    <xf numFmtId="0" fontId="11" fillId="0" borderId="10" xfId="1" applyFont="1" applyBorder="1" applyAlignment="1">
      <alignment horizontal="center" vertical="center" textRotation="255" shrinkToFit="1"/>
    </xf>
    <xf numFmtId="0" fontId="11" fillId="0" borderId="17" xfId="1" applyFont="1" applyBorder="1" applyAlignment="1">
      <alignment horizontal="center" vertical="center" textRotation="255" shrinkToFit="1"/>
    </xf>
    <xf numFmtId="0" fontId="20" fillId="0" borderId="6" xfId="1" applyFont="1" applyBorder="1" applyAlignment="1">
      <alignment horizontal="center" vertical="center" shrinkToFit="1"/>
    </xf>
    <xf numFmtId="0" fontId="20" fillId="0" borderId="7" xfId="1" applyFont="1" applyBorder="1" applyAlignment="1">
      <alignment horizontal="center" vertical="center" shrinkToFit="1"/>
    </xf>
    <xf numFmtId="0" fontId="20" fillId="0" borderId="33" xfId="1" applyFont="1" applyBorder="1" applyAlignment="1">
      <alignment horizontal="center" vertical="center" shrinkToFit="1"/>
    </xf>
    <xf numFmtId="0" fontId="20" fillId="0" borderId="34" xfId="1" applyFont="1" applyBorder="1" applyAlignment="1">
      <alignment horizontal="center" vertical="center" shrinkToFit="1"/>
    </xf>
    <xf numFmtId="0" fontId="20" fillId="0" borderId="28" xfId="1" applyFont="1" applyBorder="1" applyAlignment="1">
      <alignment horizontal="center" vertical="center" shrinkToFit="1"/>
    </xf>
    <xf numFmtId="0" fontId="20" fillId="0" borderId="29" xfId="1" applyFont="1" applyBorder="1" applyAlignment="1">
      <alignment horizontal="center" vertical="center" shrinkToFit="1"/>
    </xf>
    <xf numFmtId="0" fontId="3" fillId="0" borderId="50" xfId="1" applyFont="1" applyBorder="1" applyAlignment="1">
      <alignment horizontal="center" vertical="center" shrinkToFit="1"/>
    </xf>
    <xf numFmtId="0" fontId="3" fillId="0" borderId="51" xfId="1" applyFont="1" applyBorder="1" applyAlignment="1">
      <alignment horizontal="center" vertical="center" shrinkToFit="1"/>
    </xf>
    <xf numFmtId="0" fontId="3" fillId="0" borderId="52" xfId="1" applyFont="1" applyBorder="1" applyAlignment="1">
      <alignment horizontal="center" vertical="center" shrinkToFit="1"/>
    </xf>
    <xf numFmtId="0" fontId="11" fillId="0" borderId="5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176" fontId="11" fillId="0" borderId="18" xfId="1" applyNumberFormat="1" applyFont="1" applyBorder="1" applyAlignment="1">
      <alignment horizontal="center" vertical="center" shrinkToFit="1"/>
    </xf>
    <xf numFmtId="176" fontId="11" fillId="0" borderId="23" xfId="1" applyNumberFormat="1" applyFont="1" applyBorder="1" applyAlignment="1">
      <alignment horizontal="center" vertical="center" shrinkToFit="1"/>
    </xf>
    <xf numFmtId="0" fontId="5" fillId="0" borderId="19" xfId="1" applyBorder="1" applyAlignment="1">
      <alignment horizontal="center" vertical="center"/>
    </xf>
    <xf numFmtId="0" fontId="5" fillId="0" borderId="24" xfId="1" applyBorder="1" applyAlignment="1">
      <alignment horizontal="center" vertical="center"/>
    </xf>
    <xf numFmtId="0" fontId="6" fillId="0" borderId="21" xfId="1" applyFont="1" applyBorder="1" applyAlignment="1">
      <alignment horizontal="left" vertical="center" shrinkToFit="1"/>
    </xf>
    <xf numFmtId="0" fontId="6" fillId="0" borderId="22" xfId="1" applyFont="1" applyBorder="1" applyAlignment="1">
      <alignment horizontal="left" vertical="center" shrinkToFit="1"/>
    </xf>
    <xf numFmtId="0" fontId="5" fillId="0" borderId="38" xfId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" fillId="0" borderId="0" xfId="1" applyFont="1">
      <alignment vertical="center"/>
    </xf>
    <xf numFmtId="0" fontId="18" fillId="0" borderId="0" xfId="1" applyFont="1" applyAlignment="1">
      <alignment horizontal="left" vertical="center" wrapText="1"/>
    </xf>
    <xf numFmtId="0" fontId="14" fillId="0" borderId="6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0" fontId="14" fillId="0" borderId="7" xfId="1" applyFont="1" applyBorder="1" applyAlignment="1">
      <alignment horizontal="center" vertical="center" wrapText="1"/>
    </xf>
    <xf numFmtId="0" fontId="14" fillId="0" borderId="11" xfId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shrinkToFit="1"/>
    </xf>
    <xf numFmtId="0" fontId="3" fillId="0" borderId="8" xfId="1" applyFont="1" applyBorder="1" applyAlignment="1">
      <alignment horizontal="center" vertical="center" shrinkToFit="1"/>
    </xf>
    <xf numFmtId="0" fontId="3" fillId="0" borderId="13" xfId="1" applyFont="1" applyBorder="1" applyAlignment="1">
      <alignment horizontal="center" vertical="center" shrinkToFit="1"/>
    </xf>
    <xf numFmtId="0" fontId="3" fillId="0" borderId="15" xfId="1" applyFont="1" applyBorder="1" applyAlignment="1">
      <alignment horizontal="center" vertical="center" shrinkToFit="1"/>
    </xf>
    <xf numFmtId="0" fontId="3" fillId="0" borderId="4" xfId="1" applyFont="1" applyBorder="1" applyAlignment="1">
      <alignment horizontal="center" vertical="center" shrinkToFit="1"/>
    </xf>
    <xf numFmtId="0" fontId="3" fillId="0" borderId="9" xfId="1" applyFont="1" applyBorder="1" applyAlignment="1">
      <alignment horizontal="center" vertical="center" shrinkToFit="1"/>
    </xf>
    <xf numFmtId="0" fontId="3" fillId="0" borderId="14" xfId="1" applyFont="1" applyBorder="1" applyAlignment="1">
      <alignment horizontal="center" vertical="center" shrinkToFit="1"/>
    </xf>
    <xf numFmtId="0" fontId="3" fillId="0" borderId="16" xfId="1" applyFont="1" applyBorder="1" applyAlignment="1">
      <alignment horizontal="center" vertical="center" shrinkToFit="1"/>
    </xf>
    <xf numFmtId="0" fontId="31" fillId="0" borderId="5" xfId="1" applyFont="1" applyBorder="1" applyAlignment="1">
      <alignment horizontal="center" vertical="center" wrapText="1" shrinkToFit="1"/>
    </xf>
    <xf numFmtId="0" fontId="31" fillId="0" borderId="10" xfId="1" applyFont="1" applyBorder="1" applyAlignment="1">
      <alignment horizontal="center" vertical="center" shrinkToFit="1"/>
    </xf>
    <xf numFmtId="0" fontId="31" fillId="0" borderId="17" xfId="1" applyFont="1" applyBorder="1" applyAlignment="1">
      <alignment horizontal="center" vertical="center" shrinkToFit="1"/>
    </xf>
    <xf numFmtId="0" fontId="3" fillId="0" borderId="6" xfId="1" applyFont="1" applyBorder="1" applyAlignment="1">
      <alignment horizontal="center" vertical="center" shrinkToFit="1"/>
    </xf>
    <xf numFmtId="0" fontId="3" fillId="0" borderId="7" xfId="1" applyFont="1" applyBorder="1" applyAlignment="1">
      <alignment horizontal="center" vertical="center" shrinkToFit="1"/>
    </xf>
    <xf numFmtId="0" fontId="3" fillId="0" borderId="11" xfId="1" applyFont="1" applyBorder="1" applyAlignment="1">
      <alignment horizontal="center" vertical="center" shrinkToFit="1"/>
    </xf>
    <xf numFmtId="0" fontId="3" fillId="0" borderId="12" xfId="1" applyFont="1" applyBorder="1" applyAlignment="1">
      <alignment horizontal="center" vertical="center" shrinkToFit="1"/>
    </xf>
    <xf numFmtId="0" fontId="11" fillId="0" borderId="10" xfId="1" applyFont="1" applyBorder="1" applyAlignment="1">
      <alignment horizontal="center" vertical="center" shrinkToFit="1"/>
    </xf>
    <xf numFmtId="0" fontId="11" fillId="0" borderId="17" xfId="1" applyFont="1" applyBorder="1" applyAlignment="1">
      <alignment horizontal="center" vertical="center" shrinkToFit="1"/>
    </xf>
    <xf numFmtId="0" fontId="21" fillId="0" borderId="6" xfId="1" applyFont="1" applyBorder="1" applyAlignment="1">
      <alignment horizontal="center" vertical="center" wrapText="1"/>
    </xf>
    <xf numFmtId="0" fontId="21" fillId="0" borderId="1" xfId="1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 wrapText="1"/>
    </xf>
    <xf numFmtId="0" fontId="21" fillId="0" borderId="2" xfId="1" applyFont="1" applyBorder="1" applyAlignment="1">
      <alignment horizontal="center" vertical="center" wrapText="1"/>
    </xf>
    <xf numFmtId="0" fontId="21" fillId="0" borderId="12" xfId="1" applyFont="1" applyBorder="1" applyAlignment="1">
      <alignment horizontal="center" vertical="center" wrapText="1"/>
    </xf>
    <xf numFmtId="0" fontId="29" fillId="0" borderId="6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7" xfId="1" applyFont="1" applyBorder="1" applyAlignment="1">
      <alignment horizontal="center" vertical="center"/>
    </xf>
    <xf numFmtId="0" fontId="29" fillId="0" borderId="11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29" fillId="0" borderId="1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 textRotation="255" shrinkToFit="1"/>
    </xf>
    <xf numFmtId="0" fontId="3" fillId="0" borderId="10" xfId="1" applyFont="1" applyBorder="1" applyAlignment="1">
      <alignment horizontal="center" vertical="center" textRotation="255" shrinkToFit="1"/>
    </xf>
    <xf numFmtId="0" fontId="3" fillId="0" borderId="17" xfId="1" applyFont="1" applyBorder="1" applyAlignment="1">
      <alignment horizontal="center" vertical="center" textRotation="255" shrinkToFit="1"/>
    </xf>
    <xf numFmtId="0" fontId="3" fillId="0" borderId="5" xfId="1" applyFont="1" applyBorder="1" applyAlignment="1">
      <alignment horizontal="center" vertical="center" shrinkToFit="1"/>
    </xf>
    <xf numFmtId="0" fontId="3" fillId="0" borderId="10" xfId="1" applyFont="1" applyBorder="1" applyAlignment="1">
      <alignment horizontal="center" vertical="center" shrinkToFit="1"/>
    </xf>
    <xf numFmtId="0" fontId="3" fillId="0" borderId="27" xfId="1" applyFont="1" applyBorder="1" applyAlignment="1">
      <alignment horizontal="center" vertical="center" shrinkToFit="1"/>
    </xf>
    <xf numFmtId="0" fontId="3" fillId="0" borderId="33" xfId="1" applyFont="1" applyBorder="1" applyAlignment="1">
      <alignment horizontal="center" vertical="center" shrinkToFit="1"/>
    </xf>
    <xf numFmtId="0" fontId="3" fillId="0" borderId="34" xfId="1" applyFont="1" applyBorder="1" applyAlignment="1">
      <alignment horizontal="center" vertical="center" shrinkToFit="1"/>
    </xf>
    <xf numFmtId="0" fontId="3" fillId="0" borderId="28" xfId="1" applyFont="1" applyBorder="1" applyAlignment="1">
      <alignment horizontal="center" vertical="center" shrinkToFit="1"/>
    </xf>
    <xf numFmtId="0" fontId="3" fillId="0" borderId="29" xfId="1" applyFont="1" applyBorder="1" applyAlignment="1">
      <alignment horizontal="center" vertical="center" shrinkToFit="1"/>
    </xf>
    <xf numFmtId="0" fontId="3" fillId="0" borderId="5" xfId="1" applyFont="1" applyBorder="1" applyAlignment="1">
      <alignment horizontal="center" vertical="center" wrapText="1" shrinkToFit="1"/>
    </xf>
    <xf numFmtId="0" fontId="3" fillId="0" borderId="17" xfId="1" applyFont="1" applyBorder="1" applyAlignment="1">
      <alignment horizontal="center" vertical="center" shrinkToFit="1"/>
    </xf>
    <xf numFmtId="0" fontId="6" fillId="0" borderId="56" xfId="1" applyFont="1" applyBorder="1" applyAlignment="1">
      <alignment horizontal="left" vertical="center" shrinkToFit="1"/>
    </xf>
    <xf numFmtId="0" fontId="6" fillId="0" borderId="57" xfId="1" applyFont="1" applyBorder="1" applyAlignment="1">
      <alignment horizontal="left" vertical="center" shrinkToFit="1"/>
    </xf>
    <xf numFmtId="0" fontId="6" fillId="0" borderId="35" xfId="1" applyFont="1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14" fillId="0" borderId="6" xfId="1" applyFont="1" applyBorder="1" applyAlignment="1">
      <alignment horizontal="center" vertical="top" wrapText="1"/>
    </xf>
    <xf numFmtId="0" fontId="14" fillId="0" borderId="1" xfId="1" applyFont="1" applyBorder="1" applyAlignment="1">
      <alignment horizontal="center" vertical="top" wrapText="1"/>
    </xf>
    <xf numFmtId="0" fontId="14" fillId="0" borderId="7" xfId="1" applyFont="1" applyBorder="1" applyAlignment="1">
      <alignment horizontal="center" vertical="top" wrapText="1"/>
    </xf>
    <xf numFmtId="0" fontId="14" fillId="0" borderId="11" xfId="1" applyFont="1" applyBorder="1" applyAlignment="1">
      <alignment horizontal="center" vertical="top" wrapText="1"/>
    </xf>
    <xf numFmtId="0" fontId="14" fillId="0" borderId="2" xfId="1" applyFont="1" applyBorder="1" applyAlignment="1">
      <alignment horizontal="center" vertical="top" wrapText="1"/>
    </xf>
    <xf numFmtId="0" fontId="14" fillId="0" borderId="12" xfId="1" applyFont="1" applyBorder="1" applyAlignment="1">
      <alignment horizontal="center" vertical="top" wrapText="1"/>
    </xf>
    <xf numFmtId="0" fontId="6" fillId="0" borderId="39" xfId="1" applyFont="1" applyBorder="1" applyAlignment="1">
      <alignment vertical="center" shrinkToFit="1"/>
    </xf>
    <xf numFmtId="0" fontId="6" fillId="0" borderId="40" xfId="1" applyFont="1" applyBorder="1" applyAlignment="1">
      <alignment vertical="center" shrinkToFit="1"/>
    </xf>
    <xf numFmtId="0" fontId="3" fillId="0" borderId="1" xfId="1" applyFont="1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3" fillId="0" borderId="0" xfId="1" applyFont="1" applyBorder="1" applyAlignment="1">
      <alignment horizontal="center" vertical="center" shrinkToFit="1"/>
    </xf>
    <xf numFmtId="0" fontId="0" fillId="0" borderId="34" xfId="0" applyBorder="1" applyAlignment="1">
      <alignment horizontal="center" vertical="center" shrinkToFit="1"/>
    </xf>
    <xf numFmtId="0" fontId="11" fillId="0" borderId="5" xfId="1" applyFont="1" applyBorder="1" applyAlignment="1">
      <alignment horizontal="center" vertical="center" shrinkToFit="1"/>
    </xf>
    <xf numFmtId="0" fontId="6" fillId="0" borderId="54" xfId="1" applyFont="1" applyBorder="1" applyAlignment="1">
      <alignment vertical="center" shrinkToFit="1"/>
    </xf>
    <xf numFmtId="0" fontId="0" fillId="0" borderId="55" xfId="0" applyBorder="1" applyAlignment="1">
      <alignment vertical="center" shrinkToFit="1"/>
    </xf>
    <xf numFmtId="0" fontId="6" fillId="0" borderId="44" xfId="1" applyFont="1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2" fillId="0" borderId="5" xfId="1" applyFont="1" applyFill="1" applyBorder="1" applyAlignment="1">
      <alignment horizontal="center" vertical="center" shrinkToFit="1"/>
    </xf>
    <xf numFmtId="0" fontId="2" fillId="0" borderId="10" xfId="1" applyFont="1" applyFill="1" applyBorder="1" applyAlignment="1">
      <alignment horizontal="center" vertical="center" shrinkToFit="1"/>
    </xf>
    <xf numFmtId="0" fontId="2" fillId="0" borderId="17" xfId="1" applyFont="1" applyFill="1" applyBorder="1" applyAlignment="1">
      <alignment horizontal="center" vertical="center" shrinkToFit="1"/>
    </xf>
    <xf numFmtId="0" fontId="6" fillId="0" borderId="56" xfId="1" applyFont="1" applyBorder="1" applyAlignment="1">
      <alignment vertical="center" shrinkToFit="1"/>
    </xf>
    <xf numFmtId="0" fontId="0" fillId="0" borderId="57" xfId="0" applyBorder="1" applyAlignment="1">
      <alignment vertical="center" shrinkToFit="1"/>
    </xf>
    <xf numFmtId="0" fontId="6" fillId="0" borderId="58" xfId="1" applyFont="1" applyBorder="1" applyAlignment="1">
      <alignment vertical="center" shrinkToFit="1"/>
    </xf>
    <xf numFmtId="0" fontId="0" fillId="0" borderId="59" xfId="0" applyBorder="1" applyAlignment="1">
      <alignment vertical="center" shrinkToFit="1"/>
    </xf>
    <xf numFmtId="0" fontId="0" fillId="0" borderId="33" xfId="0" applyBorder="1" applyAlignment="1">
      <alignment horizontal="center" vertical="center" shrinkToFit="1"/>
    </xf>
    <xf numFmtId="0" fontId="0" fillId="0" borderId="0" xfId="0" applyBorder="1" applyAlignment="1">
      <alignment horizontal="center" vertical="center" shrinkToFit="1"/>
    </xf>
    <xf numFmtId="0" fontId="0" fillId="0" borderId="17" xfId="0" applyBorder="1" applyAlignment="1">
      <alignment horizontal="center" vertical="center" shrinkToFit="1"/>
    </xf>
  </cellXfs>
  <cellStyles count="3">
    <cellStyle name="標準" xfId="0" builtinId="0"/>
    <cellStyle name="標準 2" xfId="1"/>
    <cellStyle name="標準 5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405983</xdr:colOff>
      <xdr:row>7</xdr:row>
      <xdr:rowOff>156148</xdr:rowOff>
    </xdr:from>
    <xdr:to>
      <xdr:col>7</xdr:col>
      <xdr:colOff>15614</xdr:colOff>
      <xdr:row>8</xdr:row>
      <xdr:rowOff>249835</xdr:rowOff>
    </xdr:to>
    <xdr:sp macro="" textlink="">
      <xdr:nvSpPr>
        <xdr:cNvPr id="2" name="円/楕円 1"/>
        <xdr:cNvSpPr/>
      </xdr:nvSpPr>
      <xdr:spPr>
        <a:xfrm>
          <a:off x="5777458" y="2998033"/>
          <a:ext cx="421599" cy="327909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8"/>
  <sheetViews>
    <sheetView zoomScale="70" zoomScaleNormal="70" zoomScaleSheetLayoutView="61" workbookViewId="0">
      <selection activeCell="D33" sqref="D33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3.125" style="37" customWidth="1"/>
    <col min="5" max="8" width="9.625" style="28" customWidth="1"/>
    <col min="9" max="9" width="9.625" style="1" customWidth="1"/>
    <col min="10" max="10" width="14.75" style="1" customWidth="1"/>
    <col min="11" max="11" width="18" style="1" customWidth="1"/>
    <col min="12" max="16384" width="9" style="1"/>
  </cols>
  <sheetData>
    <row r="1" spans="1:11" ht="30" customHeight="1" x14ac:dyDescent="0.4">
      <c r="A1" s="32"/>
      <c r="B1" s="42"/>
      <c r="C1" s="42"/>
      <c r="D1" s="42"/>
      <c r="G1" s="47" t="s">
        <v>24</v>
      </c>
    </row>
    <row r="2" spans="1:11" ht="35.85" customHeight="1" x14ac:dyDescent="0.4">
      <c r="A2" s="209" t="s">
        <v>14</v>
      </c>
      <c r="B2" s="210"/>
      <c r="C2" s="210"/>
      <c r="D2" s="75"/>
      <c r="E2" s="2"/>
      <c r="F2" s="2"/>
      <c r="G2" s="48" t="s">
        <v>25</v>
      </c>
      <c r="H2" s="2"/>
      <c r="I2" s="51"/>
      <c r="J2" s="51"/>
    </row>
    <row r="3" spans="1:11" ht="35.85" customHeight="1" thickBot="1" x14ac:dyDescent="0.45">
      <c r="A3" s="211" t="s">
        <v>15</v>
      </c>
      <c r="B3" s="211"/>
      <c r="C3" s="211"/>
      <c r="D3" s="211"/>
      <c r="E3" s="211"/>
      <c r="F3" s="65"/>
      <c r="G3" s="48" t="s">
        <v>71</v>
      </c>
      <c r="H3" s="65"/>
      <c r="I3" s="52"/>
      <c r="J3" s="52"/>
    </row>
    <row r="4" spans="1:11" ht="35.85" customHeight="1" x14ac:dyDescent="0.4">
      <c r="A4" s="212" t="s">
        <v>37</v>
      </c>
      <c r="B4" s="213"/>
      <c r="C4" s="213"/>
      <c r="D4" s="214"/>
      <c r="E4" s="76"/>
      <c r="F4" s="45"/>
      <c r="G4" s="48" t="s">
        <v>27</v>
      </c>
      <c r="H4" s="45"/>
      <c r="I4" s="44"/>
      <c r="J4" s="44"/>
    </row>
    <row r="5" spans="1:11" ht="35.85" customHeight="1" thickBot="1" x14ac:dyDescent="0.45">
      <c r="A5" s="215"/>
      <c r="B5" s="216"/>
      <c r="C5" s="216"/>
      <c r="D5" s="217"/>
      <c r="E5" s="76"/>
      <c r="F5" s="45"/>
      <c r="G5" s="49" t="s">
        <v>70</v>
      </c>
      <c r="H5" s="45"/>
      <c r="I5" s="44"/>
      <c r="J5" s="44"/>
    </row>
    <row r="6" spans="1:11" ht="35.85" customHeight="1" x14ac:dyDescent="0.35">
      <c r="A6" s="33"/>
      <c r="B6" s="34"/>
      <c r="C6" s="34"/>
      <c r="D6" s="34"/>
      <c r="E6" s="30"/>
      <c r="F6" s="30"/>
      <c r="G6" s="50" t="s">
        <v>29</v>
      </c>
      <c r="H6" s="30"/>
      <c r="I6" s="44"/>
      <c r="J6" s="44"/>
    </row>
    <row r="7" spans="1:11" ht="15.75" customHeight="1" thickBot="1" x14ac:dyDescent="0.4">
      <c r="A7" s="35"/>
      <c r="B7" s="36"/>
      <c r="C7" s="36"/>
      <c r="D7" s="36"/>
      <c r="E7" s="3"/>
      <c r="F7" s="3"/>
      <c r="G7" s="3"/>
      <c r="H7" s="3"/>
      <c r="I7" s="29"/>
      <c r="J7" s="29"/>
    </row>
    <row r="8" spans="1:11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30</v>
      </c>
      <c r="F8" s="187" t="s">
        <v>33</v>
      </c>
      <c r="G8" s="187" t="s">
        <v>38</v>
      </c>
      <c r="H8" s="190" t="s">
        <v>18</v>
      </c>
      <c r="I8" s="191"/>
      <c r="J8" s="199" t="s">
        <v>4</v>
      </c>
      <c r="K8" s="199"/>
    </row>
    <row r="9" spans="1:11" ht="28.5" customHeight="1" x14ac:dyDescent="0.4">
      <c r="A9" s="219"/>
      <c r="B9" s="223"/>
      <c r="C9" s="223"/>
      <c r="D9" s="197"/>
      <c r="E9" s="188"/>
      <c r="F9" s="188"/>
      <c r="G9" s="188"/>
      <c r="H9" s="192"/>
      <c r="I9" s="193"/>
      <c r="J9" s="200"/>
      <c r="K9" s="200"/>
    </row>
    <row r="10" spans="1:11" ht="18" customHeight="1" x14ac:dyDescent="0.4">
      <c r="A10" s="220"/>
      <c r="B10" s="224"/>
      <c r="C10" s="224"/>
      <c r="D10" s="197"/>
      <c r="E10" s="188"/>
      <c r="F10" s="188"/>
      <c r="G10" s="188"/>
      <c r="H10" s="194"/>
      <c r="I10" s="195"/>
      <c r="J10" s="200"/>
      <c r="K10" s="200"/>
    </row>
    <row r="11" spans="1:11" ht="18.600000000000001" customHeight="1" thickBot="1" x14ac:dyDescent="0.45">
      <c r="A11" s="221"/>
      <c r="B11" s="225"/>
      <c r="C11" s="225"/>
      <c r="D11" s="198"/>
      <c r="E11" s="189"/>
      <c r="F11" s="189"/>
      <c r="G11" s="189"/>
      <c r="H11" s="66" t="s">
        <v>19</v>
      </c>
      <c r="I11" s="66" t="s">
        <v>20</v>
      </c>
      <c r="J11" s="201"/>
      <c r="K11" s="201"/>
    </row>
    <row r="12" spans="1:11" ht="23.25" customHeight="1" x14ac:dyDescent="0.4">
      <c r="A12" s="202">
        <v>46152</v>
      </c>
      <c r="B12" s="204" t="s">
        <v>7</v>
      </c>
      <c r="C12" s="90" t="s">
        <v>8</v>
      </c>
      <c r="D12" s="124" t="s">
        <v>79</v>
      </c>
      <c r="E12" s="4">
        <v>3</v>
      </c>
      <c r="F12" s="4">
        <v>5</v>
      </c>
      <c r="G12" s="4">
        <v>1</v>
      </c>
      <c r="H12" s="4">
        <v>4</v>
      </c>
      <c r="I12" s="59">
        <v>3</v>
      </c>
      <c r="J12" s="206"/>
      <c r="K12" s="207"/>
    </row>
    <row r="13" spans="1:11" ht="23.25" customHeight="1" x14ac:dyDescent="0.4">
      <c r="A13" s="203"/>
      <c r="B13" s="205"/>
      <c r="C13" s="91" t="s">
        <v>9</v>
      </c>
      <c r="D13" s="105" t="s">
        <v>80</v>
      </c>
      <c r="E13" s="8">
        <v>3</v>
      </c>
      <c r="F13" s="57">
        <v>5</v>
      </c>
      <c r="G13" s="8">
        <v>1</v>
      </c>
      <c r="H13" s="8">
        <v>4</v>
      </c>
      <c r="I13" s="8">
        <v>3</v>
      </c>
      <c r="J13" s="10"/>
      <c r="K13" s="11"/>
    </row>
    <row r="14" spans="1:11" ht="23.25" customHeight="1" x14ac:dyDescent="0.4">
      <c r="A14" s="203"/>
      <c r="B14" s="184" t="s">
        <v>10</v>
      </c>
      <c r="C14" s="87" t="s">
        <v>11</v>
      </c>
      <c r="D14" s="106" t="s">
        <v>81</v>
      </c>
      <c r="E14" s="12">
        <v>3</v>
      </c>
      <c r="F14" s="12">
        <v>5</v>
      </c>
      <c r="G14" s="12">
        <v>1</v>
      </c>
      <c r="H14" s="12">
        <v>4</v>
      </c>
      <c r="I14" s="12">
        <v>3</v>
      </c>
      <c r="J14" s="68"/>
      <c r="K14" s="15"/>
    </row>
    <row r="15" spans="1:11" ht="23.25" customHeight="1" x14ac:dyDescent="0.4">
      <c r="A15" s="203"/>
      <c r="B15" s="185"/>
      <c r="C15" s="88" t="s">
        <v>8</v>
      </c>
      <c r="D15" s="111" t="s">
        <v>82</v>
      </c>
      <c r="E15" s="8">
        <v>3</v>
      </c>
      <c r="F15" s="8">
        <v>5</v>
      </c>
      <c r="G15" s="8">
        <v>1</v>
      </c>
      <c r="H15" s="8">
        <v>4</v>
      </c>
      <c r="I15" s="8">
        <v>3</v>
      </c>
      <c r="J15" s="17"/>
      <c r="K15" s="18"/>
    </row>
    <row r="16" spans="1:11" ht="23.25" customHeight="1" x14ac:dyDescent="0.4">
      <c r="A16" s="203"/>
      <c r="B16" s="208"/>
      <c r="C16" s="92" t="s">
        <v>9</v>
      </c>
      <c r="D16" s="125" t="s">
        <v>83</v>
      </c>
      <c r="E16" s="19">
        <v>3</v>
      </c>
      <c r="F16" s="19">
        <v>5</v>
      </c>
      <c r="G16" s="19">
        <v>1</v>
      </c>
      <c r="H16" s="19">
        <v>4</v>
      </c>
      <c r="I16" s="19">
        <v>3</v>
      </c>
      <c r="J16" s="21"/>
      <c r="K16" s="22"/>
    </row>
    <row r="17" spans="1:11" ht="23.25" customHeight="1" x14ac:dyDescent="0.4">
      <c r="A17" s="182" t="str">
        <f>TEXT(A12,"(aaa)")</f>
        <v>(日)</v>
      </c>
      <c r="B17" s="184" t="s">
        <v>12</v>
      </c>
      <c r="C17" s="87" t="s">
        <v>13</v>
      </c>
      <c r="D17" s="106" t="s">
        <v>84</v>
      </c>
      <c r="E17" s="12">
        <v>3</v>
      </c>
      <c r="F17" s="12">
        <v>5</v>
      </c>
      <c r="G17" s="12">
        <v>1</v>
      </c>
      <c r="H17" s="12">
        <v>4</v>
      </c>
      <c r="I17" s="12">
        <v>3</v>
      </c>
      <c r="J17" s="68"/>
      <c r="K17" s="15"/>
    </row>
    <row r="18" spans="1:11" ht="23.25" customHeight="1" x14ac:dyDescent="0.4">
      <c r="A18" s="182"/>
      <c r="B18" s="185"/>
      <c r="C18" s="88" t="s">
        <v>8</v>
      </c>
      <c r="D18" s="111" t="s">
        <v>85</v>
      </c>
      <c r="E18" s="8">
        <v>3</v>
      </c>
      <c r="F18" s="8">
        <v>5</v>
      </c>
      <c r="G18" s="8">
        <v>1</v>
      </c>
      <c r="H18" s="8">
        <v>4</v>
      </c>
      <c r="I18" s="8">
        <v>3</v>
      </c>
      <c r="J18" s="17"/>
      <c r="K18" s="18"/>
    </row>
    <row r="19" spans="1:11" ht="23.25" customHeight="1" thickBot="1" x14ac:dyDescent="0.45">
      <c r="A19" s="183"/>
      <c r="B19" s="186"/>
      <c r="C19" s="89" t="s">
        <v>9</v>
      </c>
      <c r="D19" s="112" t="s">
        <v>86</v>
      </c>
      <c r="E19" s="64">
        <v>3</v>
      </c>
      <c r="F19" s="64">
        <v>5</v>
      </c>
      <c r="G19" s="64">
        <v>1</v>
      </c>
      <c r="H19" s="64">
        <v>4</v>
      </c>
      <c r="I19" s="64">
        <v>3</v>
      </c>
      <c r="J19" s="26"/>
      <c r="K19" s="27"/>
    </row>
    <row r="20" spans="1:11" ht="18" customHeight="1" x14ac:dyDescent="0.4">
      <c r="A20" s="37" t="s">
        <v>63</v>
      </c>
      <c r="D20" s="37" t="s">
        <v>68</v>
      </c>
    </row>
    <row r="27" spans="1:11" ht="18" customHeight="1" x14ac:dyDescent="0.4">
      <c r="C27" s="37" t="s">
        <v>56</v>
      </c>
    </row>
    <row r="31" spans="1:11" ht="18" customHeight="1" x14ac:dyDescent="0.4">
      <c r="K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17">
    <mergeCell ref="A2:C2"/>
    <mergeCell ref="A3:E3"/>
    <mergeCell ref="A4:D5"/>
    <mergeCell ref="A8:A11"/>
    <mergeCell ref="B8:C11"/>
    <mergeCell ref="E8:E11"/>
    <mergeCell ref="J8:K11"/>
    <mergeCell ref="A12:A16"/>
    <mergeCell ref="B12:B13"/>
    <mergeCell ref="J12:K12"/>
    <mergeCell ref="B14:B16"/>
    <mergeCell ref="A17:A19"/>
    <mergeCell ref="B17:B19"/>
    <mergeCell ref="F8:F11"/>
    <mergeCell ref="G8:G11"/>
    <mergeCell ref="H8:I10"/>
    <mergeCell ref="D8:D11"/>
  </mergeCells>
  <phoneticPr fontId="4"/>
  <printOptions horizontalCentered="1" verticalCentered="1"/>
  <pageMargins left="0.25" right="0.25" top="0.75" bottom="0.75" header="0.3" footer="0.3"/>
  <pageSetup paperSize="9"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8"/>
  <sheetViews>
    <sheetView zoomScale="61" zoomScaleNormal="61" zoomScaleSheetLayoutView="61" workbookViewId="0">
      <selection activeCell="E40" sqref="E40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12.25" style="37" customWidth="1"/>
    <col min="4" max="4" width="26" style="37" customWidth="1"/>
    <col min="5" max="6" width="16.125" style="28" customWidth="1"/>
    <col min="7" max="7" width="9.25" style="1" customWidth="1"/>
    <col min="8" max="8" width="18.75" style="1" customWidth="1"/>
    <col min="9" max="9" width="16.375" style="1" customWidth="1"/>
    <col min="10" max="16384" width="9" style="1"/>
  </cols>
  <sheetData>
    <row r="1" spans="1:9" ht="30" customHeight="1" x14ac:dyDescent="0.4">
      <c r="A1" s="32"/>
      <c r="B1" s="39"/>
      <c r="C1" s="39"/>
      <c r="D1" s="42"/>
      <c r="G1" s="47" t="s">
        <v>24</v>
      </c>
    </row>
    <row r="2" spans="1:9" ht="35.85" customHeight="1" x14ac:dyDescent="0.4">
      <c r="A2" s="209" t="s">
        <v>14</v>
      </c>
      <c r="B2" s="210"/>
      <c r="C2" s="210"/>
      <c r="D2" s="75"/>
      <c r="E2" s="2"/>
      <c r="F2" s="2"/>
      <c r="G2" s="48" t="s">
        <v>25</v>
      </c>
      <c r="H2" s="51"/>
    </row>
    <row r="3" spans="1:9" ht="35.85" customHeight="1" thickBot="1" x14ac:dyDescent="0.45">
      <c r="A3" s="211" t="s">
        <v>15</v>
      </c>
      <c r="B3" s="211"/>
      <c r="C3" s="211"/>
      <c r="D3" s="211"/>
      <c r="E3" s="211"/>
      <c r="F3" s="41"/>
      <c r="G3" s="48" t="s">
        <v>26</v>
      </c>
      <c r="H3" s="52"/>
    </row>
    <row r="4" spans="1:9" ht="35.85" customHeight="1" x14ac:dyDescent="0.4">
      <c r="A4" s="212" t="s">
        <v>21</v>
      </c>
      <c r="B4" s="213"/>
      <c r="C4" s="213"/>
      <c r="D4" s="214"/>
      <c r="E4" s="76"/>
      <c r="F4" s="45"/>
      <c r="G4" s="48" t="s">
        <v>27</v>
      </c>
      <c r="H4" s="44"/>
    </row>
    <row r="5" spans="1:9" ht="35.85" customHeight="1" thickBot="1" x14ac:dyDescent="0.45">
      <c r="A5" s="215"/>
      <c r="B5" s="216"/>
      <c r="C5" s="216"/>
      <c r="D5" s="217"/>
      <c r="E5" s="76"/>
      <c r="F5" s="45"/>
      <c r="G5" s="49" t="s">
        <v>28</v>
      </c>
      <c r="H5" s="44"/>
    </row>
    <row r="6" spans="1:9" ht="35.85" customHeight="1" x14ac:dyDescent="0.5">
      <c r="A6" s="109"/>
      <c r="B6" s="34"/>
      <c r="C6" s="34"/>
      <c r="D6" s="34"/>
      <c r="E6" s="30"/>
      <c r="F6" s="30"/>
      <c r="G6" s="50" t="s">
        <v>29</v>
      </c>
      <c r="H6" s="44"/>
    </row>
    <row r="7" spans="1:9" ht="15.75" customHeight="1" thickBot="1" x14ac:dyDescent="0.45">
      <c r="A7" s="108"/>
      <c r="B7" s="36"/>
      <c r="C7" s="36"/>
      <c r="D7" s="36"/>
      <c r="E7" s="3"/>
      <c r="F7" s="3"/>
      <c r="G7" s="29"/>
      <c r="H7" s="29"/>
    </row>
    <row r="8" spans="1:9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22</v>
      </c>
      <c r="G8" s="226" t="s">
        <v>55</v>
      </c>
      <c r="H8" s="199" t="s">
        <v>4</v>
      </c>
      <c r="I8" s="199"/>
    </row>
    <row r="9" spans="1:9" ht="28.5" customHeight="1" x14ac:dyDescent="0.4">
      <c r="A9" s="219"/>
      <c r="B9" s="223"/>
      <c r="C9" s="223"/>
      <c r="D9" s="197"/>
      <c r="E9" s="188"/>
      <c r="F9" s="188"/>
      <c r="G9" s="227"/>
      <c r="H9" s="200"/>
      <c r="I9" s="200"/>
    </row>
    <row r="10" spans="1:9" ht="18.600000000000001" customHeight="1" x14ac:dyDescent="0.4">
      <c r="A10" s="220"/>
      <c r="B10" s="224"/>
      <c r="C10" s="224"/>
      <c r="D10" s="197"/>
      <c r="E10" s="188"/>
      <c r="F10" s="188"/>
      <c r="G10" s="227"/>
      <c r="H10" s="200"/>
      <c r="I10" s="200"/>
    </row>
    <row r="11" spans="1:9" ht="18.600000000000001" customHeight="1" thickBot="1" x14ac:dyDescent="0.45">
      <c r="A11" s="221"/>
      <c r="B11" s="225"/>
      <c r="C11" s="225"/>
      <c r="D11" s="198"/>
      <c r="E11" s="189"/>
      <c r="F11" s="189"/>
      <c r="G11" s="228"/>
      <c r="H11" s="201"/>
      <c r="I11" s="201"/>
    </row>
    <row r="12" spans="1:9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20</v>
      </c>
      <c r="F12" s="4">
        <v>4</v>
      </c>
      <c r="G12" s="4"/>
      <c r="H12" s="206"/>
      <c r="I12" s="207"/>
    </row>
    <row r="13" spans="1:9" ht="23.4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20</v>
      </c>
      <c r="F13" s="8">
        <v>4</v>
      </c>
      <c r="G13" s="19"/>
      <c r="H13" s="10"/>
      <c r="I13" s="11"/>
    </row>
    <row r="14" spans="1:9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20</v>
      </c>
      <c r="F14" s="12">
        <v>5</v>
      </c>
      <c r="G14" s="164"/>
      <c r="H14" s="68"/>
      <c r="I14" s="15"/>
    </row>
    <row r="15" spans="1:9" ht="27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20</v>
      </c>
      <c r="F15" s="8">
        <v>5</v>
      </c>
      <c r="G15" s="8"/>
      <c r="H15" s="17"/>
      <c r="I15" s="18"/>
    </row>
    <row r="16" spans="1:9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20</v>
      </c>
      <c r="F16" s="19">
        <v>5</v>
      </c>
      <c r="G16" s="19"/>
      <c r="H16" s="21"/>
      <c r="I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20</v>
      </c>
      <c r="F17" s="12">
        <v>5</v>
      </c>
      <c r="G17" s="164"/>
      <c r="H17" s="137"/>
      <c r="I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20</v>
      </c>
      <c r="F18" s="8">
        <v>5</v>
      </c>
      <c r="G18" s="8"/>
      <c r="H18" s="17"/>
      <c r="I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40">
        <v>20</v>
      </c>
      <c r="F19" s="40">
        <v>5</v>
      </c>
      <c r="G19" s="165"/>
      <c r="H19" s="26"/>
      <c r="I19" s="27"/>
    </row>
    <row r="31" spans="1:11" ht="18" customHeight="1" x14ac:dyDescent="0.4">
      <c r="K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6">
    <mergeCell ref="A17:A19"/>
    <mergeCell ref="B17:B19"/>
    <mergeCell ref="F8:F11"/>
    <mergeCell ref="H8:I11"/>
    <mergeCell ref="A12:A16"/>
    <mergeCell ref="B12:B13"/>
    <mergeCell ref="B14:B16"/>
    <mergeCell ref="H12:I12"/>
    <mergeCell ref="G8:G11"/>
    <mergeCell ref="A2:C2"/>
    <mergeCell ref="A3:E3"/>
    <mergeCell ref="A4:D5"/>
    <mergeCell ref="A8:A11"/>
    <mergeCell ref="B8:C11"/>
    <mergeCell ref="E8:E11"/>
    <mergeCell ref="D8:D11"/>
  </mergeCells>
  <phoneticPr fontId="4"/>
  <printOptions horizontalCentered="1" verticalCentered="1"/>
  <pageMargins left="0.25" right="0.25" top="0.75" bottom="0.75" header="0.3" footer="0.3"/>
  <pageSetup paperSize="9" scale="6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8"/>
  <sheetViews>
    <sheetView zoomScale="61" zoomScaleNormal="61" zoomScaleSheetLayoutView="61" workbookViewId="0">
      <selection activeCell="F41" sqref="F41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5.625" style="37" customWidth="1"/>
    <col min="5" max="9" width="9.375" style="28" customWidth="1"/>
    <col min="10" max="10" width="9.375" style="1" customWidth="1"/>
    <col min="11" max="11" width="14.75" style="1" customWidth="1"/>
    <col min="12" max="12" width="18" style="1" customWidth="1"/>
    <col min="13" max="16384" width="9" style="1"/>
  </cols>
  <sheetData>
    <row r="1" spans="1:12" ht="30" customHeight="1" x14ac:dyDescent="0.4">
      <c r="A1" s="32"/>
      <c r="B1" s="39"/>
      <c r="C1" s="39"/>
      <c r="D1" s="42"/>
      <c r="G1" s="47" t="s">
        <v>24</v>
      </c>
      <c r="H1" s="47"/>
    </row>
    <row r="2" spans="1:12" ht="35.85" customHeight="1" x14ac:dyDescent="0.4">
      <c r="A2" s="209" t="s">
        <v>14</v>
      </c>
      <c r="B2" s="210"/>
      <c r="C2" s="210"/>
      <c r="D2" s="75"/>
      <c r="E2" s="2"/>
      <c r="F2" s="2"/>
      <c r="G2" s="48" t="s">
        <v>25</v>
      </c>
      <c r="H2" s="48"/>
      <c r="I2" s="2"/>
      <c r="J2" s="51"/>
      <c r="K2" s="51"/>
    </row>
    <row r="3" spans="1:12" ht="35.85" customHeight="1" thickBot="1" x14ac:dyDescent="0.45">
      <c r="A3" s="211" t="s">
        <v>15</v>
      </c>
      <c r="B3" s="211"/>
      <c r="C3" s="211"/>
      <c r="D3" s="211"/>
      <c r="E3" s="211"/>
      <c r="F3" s="41"/>
      <c r="G3" s="48" t="s">
        <v>26</v>
      </c>
      <c r="H3" s="48"/>
      <c r="I3" s="46"/>
      <c r="J3" s="52"/>
      <c r="K3" s="52"/>
    </row>
    <row r="4" spans="1:12" ht="35.85" customHeight="1" x14ac:dyDescent="0.4">
      <c r="A4" s="212" t="s">
        <v>17</v>
      </c>
      <c r="B4" s="213"/>
      <c r="C4" s="213"/>
      <c r="D4" s="214"/>
      <c r="E4" s="76"/>
      <c r="F4" s="45"/>
      <c r="G4" s="48" t="s">
        <v>27</v>
      </c>
      <c r="H4" s="48"/>
      <c r="I4" s="45"/>
      <c r="J4" s="44"/>
      <c r="K4" s="44"/>
    </row>
    <row r="5" spans="1:12" ht="35.85" customHeight="1" thickBot="1" x14ac:dyDescent="0.45">
      <c r="A5" s="215"/>
      <c r="B5" s="216"/>
      <c r="C5" s="216"/>
      <c r="D5" s="217"/>
      <c r="E5" s="76"/>
      <c r="F5" s="45"/>
      <c r="G5" s="49" t="s">
        <v>28</v>
      </c>
      <c r="H5" s="49"/>
      <c r="I5" s="45"/>
      <c r="J5" s="44"/>
      <c r="K5" s="44"/>
    </row>
    <row r="6" spans="1:12" ht="35.85" customHeight="1" x14ac:dyDescent="0.35">
      <c r="A6" s="33"/>
      <c r="B6" s="34"/>
      <c r="C6" s="34"/>
      <c r="D6" s="34"/>
      <c r="E6" s="30"/>
      <c r="F6" s="30"/>
      <c r="G6" s="50" t="s">
        <v>29</v>
      </c>
      <c r="H6" s="50"/>
      <c r="I6" s="30"/>
      <c r="J6" s="44"/>
      <c r="K6" s="44"/>
    </row>
    <row r="7" spans="1:12" ht="15.75" customHeight="1" thickBot="1" x14ac:dyDescent="0.4">
      <c r="A7" s="35"/>
      <c r="B7" s="36"/>
      <c r="C7" s="36"/>
      <c r="D7" s="36"/>
      <c r="E7" s="3"/>
      <c r="F7" s="3"/>
      <c r="G7" s="3"/>
      <c r="H7" s="3"/>
      <c r="I7" s="3"/>
      <c r="J7" s="29"/>
      <c r="K7" s="29"/>
    </row>
    <row r="8" spans="1:12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31</v>
      </c>
      <c r="F8" s="187" t="s">
        <v>30</v>
      </c>
      <c r="G8" s="187" t="s">
        <v>33</v>
      </c>
      <c r="H8" s="187" t="s">
        <v>38</v>
      </c>
      <c r="I8" s="190" t="s">
        <v>18</v>
      </c>
      <c r="J8" s="191"/>
      <c r="K8" s="199" t="s">
        <v>4</v>
      </c>
      <c r="L8" s="199"/>
    </row>
    <row r="9" spans="1:12" ht="28.5" customHeight="1" x14ac:dyDescent="0.4">
      <c r="A9" s="219"/>
      <c r="B9" s="223"/>
      <c r="C9" s="223"/>
      <c r="D9" s="197"/>
      <c r="E9" s="188"/>
      <c r="F9" s="188"/>
      <c r="G9" s="188"/>
      <c r="H9" s="188"/>
      <c r="I9" s="192"/>
      <c r="J9" s="193"/>
      <c r="K9" s="200"/>
      <c r="L9" s="200"/>
    </row>
    <row r="10" spans="1:12" ht="18.600000000000001" customHeight="1" x14ac:dyDescent="0.4">
      <c r="A10" s="220"/>
      <c r="B10" s="224"/>
      <c r="C10" s="224"/>
      <c r="D10" s="197"/>
      <c r="E10" s="188"/>
      <c r="F10" s="188"/>
      <c r="G10" s="188"/>
      <c r="H10" s="188"/>
      <c r="I10" s="194"/>
      <c r="J10" s="195"/>
      <c r="K10" s="200"/>
      <c r="L10" s="200"/>
    </row>
    <row r="11" spans="1:12" ht="18.600000000000001" customHeight="1" thickBot="1" x14ac:dyDescent="0.45">
      <c r="A11" s="221"/>
      <c r="B11" s="225"/>
      <c r="C11" s="225"/>
      <c r="D11" s="198"/>
      <c r="E11" s="189"/>
      <c r="F11" s="189"/>
      <c r="G11" s="189"/>
      <c r="H11" s="189"/>
      <c r="I11" s="38" t="s">
        <v>19</v>
      </c>
      <c r="J11" s="38" t="s">
        <v>20</v>
      </c>
      <c r="K11" s="201"/>
      <c r="L11" s="201"/>
    </row>
    <row r="12" spans="1:12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/>
      <c r="F12" s="4"/>
      <c r="G12" s="4">
        <v>9</v>
      </c>
      <c r="H12" s="4">
        <v>6</v>
      </c>
      <c r="I12" s="4"/>
      <c r="J12" s="59">
        <v>1</v>
      </c>
      <c r="K12" s="206"/>
      <c r="L12" s="207"/>
    </row>
    <row r="13" spans="1:12" ht="23.4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/>
      <c r="F13" s="8"/>
      <c r="G13" s="8">
        <v>9</v>
      </c>
      <c r="H13" s="8">
        <v>6</v>
      </c>
      <c r="I13" s="8"/>
      <c r="J13" s="8">
        <v>1</v>
      </c>
      <c r="K13" s="10"/>
      <c r="L13" s="11"/>
    </row>
    <row r="14" spans="1:12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/>
      <c r="F14" s="12"/>
      <c r="G14" s="12">
        <v>9</v>
      </c>
      <c r="H14" s="12">
        <v>6</v>
      </c>
      <c r="I14" s="12"/>
      <c r="J14" s="12">
        <v>1</v>
      </c>
      <c r="K14" s="68"/>
      <c r="L14" s="15"/>
    </row>
    <row r="15" spans="1:12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/>
      <c r="F15" s="8"/>
      <c r="G15" s="8">
        <v>9</v>
      </c>
      <c r="H15" s="8">
        <v>6</v>
      </c>
      <c r="I15" s="8"/>
      <c r="J15" s="8">
        <v>1</v>
      </c>
      <c r="K15" s="17"/>
      <c r="L15" s="18"/>
    </row>
    <row r="16" spans="1:12" ht="23.45" customHeight="1" x14ac:dyDescent="0.4">
      <c r="A16" s="203"/>
      <c r="B16" s="208"/>
      <c r="C16" s="118" t="s">
        <v>9</v>
      </c>
      <c r="D16" s="125" t="str">
        <f>山城!D16</f>
        <v>ﾌﾞﾛｯｺﾘｰのちりめん和え</v>
      </c>
      <c r="E16" s="19"/>
      <c r="F16" s="19"/>
      <c r="G16" s="19">
        <v>9</v>
      </c>
      <c r="H16" s="19">
        <v>6</v>
      </c>
      <c r="I16" s="19"/>
      <c r="J16" s="19">
        <v>1</v>
      </c>
      <c r="K16" s="21"/>
      <c r="L16" s="22"/>
    </row>
    <row r="17" spans="1:12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/>
      <c r="F17" s="12"/>
      <c r="G17" s="12">
        <v>9</v>
      </c>
      <c r="H17" s="12">
        <v>6</v>
      </c>
      <c r="I17" s="12"/>
      <c r="J17" s="12">
        <v>1</v>
      </c>
      <c r="K17" s="68"/>
      <c r="L17" s="15"/>
    </row>
    <row r="18" spans="1:12" ht="23.45" customHeight="1" x14ac:dyDescent="0.4">
      <c r="A18" s="182"/>
      <c r="B18" s="185"/>
      <c r="C18" s="114" t="s">
        <v>8</v>
      </c>
      <c r="D18" s="111" t="str">
        <f>山城!D18</f>
        <v>ジャーマンポテト</v>
      </c>
      <c r="E18" s="8"/>
      <c r="F18" s="8"/>
      <c r="G18" s="8">
        <v>9</v>
      </c>
      <c r="H18" s="8">
        <v>6</v>
      </c>
      <c r="I18" s="8"/>
      <c r="J18" s="8">
        <v>1</v>
      </c>
      <c r="K18" s="17"/>
      <c r="L18" s="18"/>
    </row>
    <row r="19" spans="1:12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53"/>
      <c r="F19" s="40"/>
      <c r="G19" s="40">
        <v>9</v>
      </c>
      <c r="H19" s="67">
        <v>6</v>
      </c>
      <c r="I19" s="40"/>
      <c r="J19" s="40">
        <v>1</v>
      </c>
      <c r="K19" s="26"/>
      <c r="L19" s="27"/>
    </row>
    <row r="20" spans="1:12" ht="18" customHeight="1" x14ac:dyDescent="0.4">
      <c r="J20" s="1">
        <v>1</v>
      </c>
    </row>
    <row r="31" spans="1:12" ht="18" customHeight="1" x14ac:dyDescent="0.4">
      <c r="L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18">
    <mergeCell ref="A17:A19"/>
    <mergeCell ref="B17:B19"/>
    <mergeCell ref="A8:A11"/>
    <mergeCell ref="B8:C11"/>
    <mergeCell ref="F8:F11"/>
    <mergeCell ref="A12:A16"/>
    <mergeCell ref="B12:B13"/>
    <mergeCell ref="B14:B16"/>
    <mergeCell ref="K12:L12"/>
    <mergeCell ref="K8:L11"/>
    <mergeCell ref="A2:C2"/>
    <mergeCell ref="A3:E3"/>
    <mergeCell ref="A4:D5"/>
    <mergeCell ref="G8:G11"/>
    <mergeCell ref="I8:J10"/>
    <mergeCell ref="E8:E11"/>
    <mergeCell ref="H8:H11"/>
    <mergeCell ref="D8:D11"/>
  </mergeCells>
  <phoneticPr fontId="4"/>
  <printOptions horizontalCentered="1" verticalCentered="1"/>
  <pageMargins left="0.25" right="0.25" top="0.75" bottom="0.75" header="0.3" footer="0.3"/>
  <pageSetup paperSize="9"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8"/>
  <sheetViews>
    <sheetView zoomScale="61" zoomScaleNormal="61" zoomScaleSheetLayoutView="61" workbookViewId="0">
      <selection activeCell="G37" sqref="G37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7.375" style="37" customWidth="1"/>
    <col min="5" max="6" width="13.625" style="28" customWidth="1"/>
    <col min="7" max="8" width="11.375" style="28" customWidth="1"/>
    <col min="9" max="9" width="14.75" style="1" customWidth="1"/>
    <col min="10" max="10" width="19.875" style="1" customWidth="1"/>
    <col min="11" max="16384" width="9" style="1"/>
  </cols>
  <sheetData>
    <row r="1" spans="1:10" ht="30" customHeight="1" x14ac:dyDescent="0.4">
      <c r="A1" s="32"/>
      <c r="B1" s="42"/>
      <c r="C1" s="42"/>
      <c r="D1" s="42"/>
      <c r="H1" s="47" t="s">
        <v>24</v>
      </c>
    </row>
    <row r="2" spans="1:10" ht="35.85" customHeight="1" x14ac:dyDescent="0.4">
      <c r="A2" s="209" t="s">
        <v>14</v>
      </c>
      <c r="B2" s="210"/>
      <c r="C2" s="210"/>
      <c r="D2" s="75"/>
      <c r="E2" s="2"/>
      <c r="F2" s="2"/>
      <c r="G2" s="51"/>
      <c r="H2" s="48" t="s">
        <v>25</v>
      </c>
      <c r="I2" s="51"/>
      <c r="J2" s="51"/>
    </row>
    <row r="3" spans="1:10" ht="35.85" customHeight="1" thickBot="1" x14ac:dyDescent="0.45">
      <c r="A3" s="211" t="s">
        <v>15</v>
      </c>
      <c r="B3" s="211"/>
      <c r="C3" s="211"/>
      <c r="D3" s="211"/>
      <c r="E3" s="211"/>
      <c r="F3" s="65"/>
      <c r="G3" s="52"/>
      <c r="H3" s="48" t="s">
        <v>26</v>
      </c>
      <c r="I3" s="52"/>
      <c r="J3" s="52"/>
    </row>
    <row r="4" spans="1:10" ht="35.85" customHeight="1" x14ac:dyDescent="0.4">
      <c r="A4" s="235" t="s">
        <v>39</v>
      </c>
      <c r="B4" s="236"/>
      <c r="C4" s="236"/>
      <c r="D4" s="237"/>
      <c r="E4" s="77"/>
      <c r="F4" s="56"/>
      <c r="G4" s="44"/>
      <c r="H4" s="48" t="s">
        <v>27</v>
      </c>
      <c r="I4" s="44"/>
      <c r="J4" s="44"/>
    </row>
    <row r="5" spans="1:10" ht="35.85" customHeight="1" thickBot="1" x14ac:dyDescent="0.45">
      <c r="A5" s="238"/>
      <c r="B5" s="239"/>
      <c r="C5" s="239"/>
      <c r="D5" s="240"/>
      <c r="E5" s="77"/>
      <c r="F5" s="56"/>
      <c r="G5" s="44"/>
      <c r="H5" s="49" t="s">
        <v>28</v>
      </c>
      <c r="I5" s="44"/>
      <c r="J5" s="44"/>
    </row>
    <row r="6" spans="1:10" ht="35.85" customHeight="1" x14ac:dyDescent="0.35">
      <c r="A6" s="33"/>
      <c r="B6" s="34"/>
      <c r="C6" s="34"/>
      <c r="D6" s="34"/>
      <c r="E6" s="30"/>
      <c r="F6" s="30"/>
      <c r="G6" s="44"/>
      <c r="H6" s="50" t="s">
        <v>29</v>
      </c>
      <c r="I6" s="44"/>
      <c r="J6" s="44"/>
    </row>
    <row r="7" spans="1:10" ht="15.75" customHeight="1" thickBot="1" x14ac:dyDescent="0.4">
      <c r="A7" s="35"/>
      <c r="B7" s="36"/>
      <c r="C7" s="36"/>
      <c r="D7" s="36"/>
      <c r="E7" s="3"/>
      <c r="F7" s="3"/>
      <c r="G7" s="29"/>
      <c r="H7" s="29"/>
      <c r="I7" s="29"/>
      <c r="J7" s="29"/>
    </row>
    <row r="8" spans="1:10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32</v>
      </c>
      <c r="G8" s="229" t="s">
        <v>3</v>
      </c>
      <c r="H8" s="230"/>
      <c r="I8" s="199" t="s">
        <v>4</v>
      </c>
      <c r="J8" s="199"/>
    </row>
    <row r="9" spans="1:10" ht="28.5" customHeight="1" thickBot="1" x14ac:dyDescent="0.45">
      <c r="A9" s="219"/>
      <c r="B9" s="223"/>
      <c r="C9" s="223"/>
      <c r="D9" s="197"/>
      <c r="E9" s="188"/>
      <c r="F9" s="188"/>
      <c r="G9" s="231"/>
      <c r="H9" s="232"/>
      <c r="I9" s="200"/>
      <c r="J9" s="200"/>
    </row>
    <row r="10" spans="1:10" ht="18.600000000000001" customHeight="1" x14ac:dyDescent="0.4">
      <c r="A10" s="220"/>
      <c r="B10" s="224"/>
      <c r="C10" s="224"/>
      <c r="D10" s="197"/>
      <c r="E10" s="188"/>
      <c r="F10" s="188"/>
      <c r="G10" s="233" t="s">
        <v>5</v>
      </c>
      <c r="H10" s="233" t="s">
        <v>6</v>
      </c>
      <c r="I10" s="200"/>
      <c r="J10" s="200"/>
    </row>
    <row r="11" spans="1:10" ht="18.600000000000001" customHeight="1" thickBot="1" x14ac:dyDescent="0.45">
      <c r="A11" s="221"/>
      <c r="B11" s="225"/>
      <c r="C11" s="225"/>
      <c r="D11" s="198"/>
      <c r="E11" s="189"/>
      <c r="F11" s="189"/>
      <c r="G11" s="234"/>
      <c r="H11" s="234"/>
      <c r="I11" s="201"/>
      <c r="J11" s="201"/>
    </row>
    <row r="12" spans="1:10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26</v>
      </c>
      <c r="F12" s="63"/>
      <c r="G12" s="5"/>
      <c r="H12" s="5"/>
      <c r="I12" s="206"/>
      <c r="J12" s="207"/>
    </row>
    <row r="13" spans="1:10" ht="23.4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26</v>
      </c>
      <c r="F13" s="58"/>
      <c r="G13" s="9"/>
      <c r="H13" s="9"/>
      <c r="I13" s="10"/>
      <c r="J13" s="11"/>
    </row>
    <row r="14" spans="1:10" ht="23.2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27</v>
      </c>
      <c r="F14" s="57"/>
      <c r="G14" s="13"/>
      <c r="H14" s="14"/>
      <c r="I14" s="68"/>
      <c r="J14" s="15"/>
    </row>
    <row r="15" spans="1:10" ht="24.7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27</v>
      </c>
      <c r="F15" s="8"/>
      <c r="G15" s="16"/>
      <c r="H15" s="16"/>
      <c r="I15" s="17"/>
      <c r="J15" s="18"/>
    </row>
    <row r="16" spans="1:10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27</v>
      </c>
      <c r="F16" s="19"/>
      <c r="G16" s="20"/>
      <c r="H16" s="20"/>
      <c r="I16" s="21"/>
      <c r="J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28</v>
      </c>
      <c r="F17" s="12"/>
      <c r="G17" s="23"/>
      <c r="H17" s="24"/>
      <c r="I17" s="68"/>
      <c r="J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28</v>
      </c>
      <c r="F18" s="8"/>
      <c r="G18" s="16"/>
      <c r="H18" s="16"/>
      <c r="I18" s="17"/>
      <c r="J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64">
        <v>28</v>
      </c>
      <c r="F19" s="64"/>
      <c r="G19" s="25"/>
      <c r="H19" s="25"/>
      <c r="I19" s="26"/>
      <c r="J19" s="27"/>
    </row>
    <row r="31" spans="1:11" ht="18" customHeight="1" x14ac:dyDescent="0.4">
      <c r="K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18">
    <mergeCell ref="A2:C2"/>
    <mergeCell ref="A3:E3"/>
    <mergeCell ref="A4:D5"/>
    <mergeCell ref="A8:A11"/>
    <mergeCell ref="B8:C11"/>
    <mergeCell ref="E8:E11"/>
    <mergeCell ref="A17:A19"/>
    <mergeCell ref="B17:B19"/>
    <mergeCell ref="F8:F11"/>
    <mergeCell ref="G8:H9"/>
    <mergeCell ref="I8:J11"/>
    <mergeCell ref="G10:G11"/>
    <mergeCell ref="H10:H11"/>
    <mergeCell ref="A12:A16"/>
    <mergeCell ref="B12:B13"/>
    <mergeCell ref="I12:J12"/>
    <mergeCell ref="B14:B16"/>
    <mergeCell ref="D8:D11"/>
  </mergeCells>
  <phoneticPr fontId="4"/>
  <printOptions horizontalCentered="1" verticalCentered="1"/>
  <pageMargins left="0.25" right="0.25" top="0.75" bottom="0.75" header="0.3" footer="0.3"/>
  <pageSetup paperSize="9" scale="6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8"/>
  <sheetViews>
    <sheetView zoomScale="61" zoomScaleNormal="61" zoomScaleSheetLayoutView="61" workbookViewId="0">
      <selection activeCell="I34" sqref="I34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8.5" style="37" customWidth="1"/>
    <col min="5" max="9" width="10.5" style="28" customWidth="1"/>
    <col min="10" max="10" width="10.5" style="1" customWidth="1"/>
    <col min="11" max="11" width="15" style="1" customWidth="1"/>
    <col min="12" max="12" width="21.5" style="1" customWidth="1"/>
    <col min="13" max="16384" width="9" style="1"/>
  </cols>
  <sheetData>
    <row r="1" spans="1:12" ht="30" customHeight="1" x14ac:dyDescent="0.4">
      <c r="A1" s="32"/>
      <c r="B1" s="42"/>
      <c r="C1" s="42"/>
      <c r="D1" s="42"/>
      <c r="H1" s="47" t="s">
        <v>24</v>
      </c>
    </row>
    <row r="2" spans="1:12" ht="35.85" customHeight="1" x14ac:dyDescent="0.4">
      <c r="A2" s="209" t="s">
        <v>14</v>
      </c>
      <c r="B2" s="210"/>
      <c r="C2" s="210"/>
      <c r="D2" s="75"/>
      <c r="E2" s="2"/>
      <c r="F2" s="2"/>
      <c r="G2" s="2"/>
      <c r="H2" s="48" t="s">
        <v>25</v>
      </c>
      <c r="I2" s="2"/>
      <c r="J2" s="51"/>
      <c r="K2" s="51"/>
    </row>
    <row r="3" spans="1:12" ht="35.85" customHeight="1" thickBot="1" x14ac:dyDescent="0.45">
      <c r="A3" s="211" t="s">
        <v>15</v>
      </c>
      <c r="B3" s="211"/>
      <c r="C3" s="211"/>
      <c r="D3" s="211"/>
      <c r="E3" s="211"/>
      <c r="F3" s="62"/>
      <c r="G3" s="95"/>
      <c r="H3" s="48" t="s">
        <v>26</v>
      </c>
      <c r="I3" s="62"/>
      <c r="J3" s="52"/>
      <c r="K3" s="52"/>
    </row>
    <row r="4" spans="1:12" ht="35.85" customHeight="1" x14ac:dyDescent="0.4">
      <c r="A4" s="212" t="s">
        <v>34</v>
      </c>
      <c r="B4" s="213"/>
      <c r="C4" s="213"/>
      <c r="D4" s="214"/>
      <c r="E4" s="76"/>
      <c r="F4" s="45"/>
      <c r="G4" s="45"/>
      <c r="H4" s="48" t="s">
        <v>27</v>
      </c>
      <c r="I4" s="45"/>
      <c r="J4" s="44"/>
      <c r="K4" s="44"/>
    </row>
    <row r="5" spans="1:12" ht="52.5" customHeight="1" thickBot="1" x14ac:dyDescent="0.45">
      <c r="A5" s="215"/>
      <c r="B5" s="216"/>
      <c r="C5" s="216"/>
      <c r="D5" s="217"/>
      <c r="E5" s="76"/>
      <c r="F5" s="45"/>
      <c r="G5" s="45"/>
      <c r="H5" s="49" t="s">
        <v>28</v>
      </c>
      <c r="I5" s="45"/>
      <c r="J5" s="44"/>
      <c r="K5" s="44"/>
    </row>
    <row r="6" spans="1:12" ht="50.25" customHeight="1" x14ac:dyDescent="0.35">
      <c r="A6" s="33"/>
      <c r="B6" s="34"/>
      <c r="C6" s="34"/>
      <c r="D6" s="34"/>
      <c r="E6" s="30"/>
      <c r="F6" s="30"/>
      <c r="G6" s="30"/>
      <c r="H6" s="50" t="s">
        <v>29</v>
      </c>
      <c r="I6" s="30"/>
      <c r="J6" s="44"/>
      <c r="K6" s="44"/>
    </row>
    <row r="7" spans="1:12" ht="15.75" customHeight="1" thickBot="1" x14ac:dyDescent="0.4">
      <c r="A7" s="35"/>
      <c r="B7" s="36"/>
      <c r="C7" s="36"/>
      <c r="D7" s="36"/>
      <c r="E7" s="3"/>
      <c r="F7" s="3"/>
      <c r="G7" s="3"/>
      <c r="H7" s="3"/>
      <c r="I7" s="3"/>
      <c r="J7" s="29"/>
      <c r="K7" s="29"/>
    </row>
    <row r="8" spans="1:12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31</v>
      </c>
      <c r="F8" s="187" t="s">
        <v>30</v>
      </c>
      <c r="G8" s="187" t="s">
        <v>33</v>
      </c>
      <c r="H8" s="187" t="s">
        <v>38</v>
      </c>
      <c r="I8" s="190" t="s">
        <v>18</v>
      </c>
      <c r="J8" s="191"/>
      <c r="K8" s="199" t="s">
        <v>4</v>
      </c>
      <c r="L8" s="199"/>
    </row>
    <row r="9" spans="1:12" ht="28.5" customHeight="1" x14ac:dyDescent="0.4">
      <c r="A9" s="219"/>
      <c r="B9" s="223"/>
      <c r="C9" s="223"/>
      <c r="D9" s="197"/>
      <c r="E9" s="188"/>
      <c r="F9" s="188"/>
      <c r="G9" s="188"/>
      <c r="H9" s="188"/>
      <c r="I9" s="192"/>
      <c r="J9" s="193"/>
      <c r="K9" s="200"/>
      <c r="L9" s="200"/>
    </row>
    <row r="10" spans="1:12" ht="18.600000000000001" customHeight="1" x14ac:dyDescent="0.4">
      <c r="A10" s="220"/>
      <c r="B10" s="224"/>
      <c r="C10" s="224"/>
      <c r="D10" s="197"/>
      <c r="E10" s="188"/>
      <c r="F10" s="188"/>
      <c r="G10" s="188"/>
      <c r="H10" s="188"/>
      <c r="I10" s="194"/>
      <c r="J10" s="195"/>
      <c r="K10" s="200"/>
      <c r="L10" s="200"/>
    </row>
    <row r="11" spans="1:12" ht="18.600000000000001" customHeight="1" thickBot="1" x14ac:dyDescent="0.45">
      <c r="A11" s="221"/>
      <c r="B11" s="225"/>
      <c r="C11" s="225"/>
      <c r="D11" s="198"/>
      <c r="E11" s="189"/>
      <c r="F11" s="189"/>
      <c r="G11" s="189"/>
      <c r="H11" s="189"/>
      <c r="I11" s="61" t="s">
        <v>19</v>
      </c>
      <c r="J11" s="61" t="s">
        <v>20</v>
      </c>
      <c r="K11" s="201"/>
      <c r="L11" s="201"/>
    </row>
    <row r="12" spans="1:12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3</v>
      </c>
      <c r="F12" s="4">
        <v>5</v>
      </c>
      <c r="G12" s="4">
        <v>4</v>
      </c>
      <c r="H12" s="12">
        <v>2</v>
      </c>
      <c r="I12" s="12">
        <v>2</v>
      </c>
      <c r="J12" s="12">
        <v>2</v>
      </c>
      <c r="K12" s="6"/>
      <c r="L12" s="7"/>
    </row>
    <row r="13" spans="1:12" ht="23.4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3</v>
      </c>
      <c r="F13" s="8">
        <v>5</v>
      </c>
      <c r="G13" s="8">
        <v>4</v>
      </c>
      <c r="H13" s="8">
        <v>2</v>
      </c>
      <c r="I13" s="8">
        <v>2</v>
      </c>
      <c r="J13" s="8">
        <v>2</v>
      </c>
      <c r="K13" s="10"/>
      <c r="L13" s="11"/>
    </row>
    <row r="14" spans="1:12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3</v>
      </c>
      <c r="F14" s="12">
        <v>5</v>
      </c>
      <c r="G14" s="12">
        <v>4</v>
      </c>
      <c r="H14" s="12">
        <v>2</v>
      </c>
      <c r="I14" s="12">
        <v>2</v>
      </c>
      <c r="J14" s="12">
        <v>2</v>
      </c>
      <c r="K14" s="68"/>
      <c r="L14" s="15"/>
    </row>
    <row r="15" spans="1:12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3</v>
      </c>
      <c r="F15" s="8">
        <v>5</v>
      </c>
      <c r="G15" s="8">
        <v>4</v>
      </c>
      <c r="H15" s="8">
        <v>2</v>
      </c>
      <c r="I15" s="8">
        <v>2</v>
      </c>
      <c r="J15" s="8">
        <v>2</v>
      </c>
      <c r="K15" s="17"/>
      <c r="L15" s="18"/>
    </row>
    <row r="16" spans="1:12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3</v>
      </c>
      <c r="F16" s="19">
        <v>5</v>
      </c>
      <c r="G16" s="19">
        <v>4</v>
      </c>
      <c r="H16" s="19">
        <v>2</v>
      </c>
      <c r="I16" s="57">
        <v>2</v>
      </c>
      <c r="J16" s="19">
        <v>2</v>
      </c>
      <c r="K16" s="21"/>
      <c r="L16" s="22"/>
    </row>
    <row r="17" spans="1:12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3</v>
      </c>
      <c r="F17" s="12">
        <v>5</v>
      </c>
      <c r="G17" s="12">
        <v>4</v>
      </c>
      <c r="H17" s="12">
        <v>2</v>
      </c>
      <c r="I17" s="12">
        <v>2</v>
      </c>
      <c r="J17" s="12">
        <v>2</v>
      </c>
      <c r="K17" s="68"/>
      <c r="L17" s="15"/>
    </row>
    <row r="18" spans="1:12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3</v>
      </c>
      <c r="F18" s="8">
        <v>5</v>
      </c>
      <c r="G18" s="8">
        <v>4</v>
      </c>
      <c r="H18" s="8">
        <v>2</v>
      </c>
      <c r="I18" s="8">
        <v>2</v>
      </c>
      <c r="J18" s="8">
        <v>2</v>
      </c>
      <c r="K18" s="17"/>
      <c r="L18" s="18"/>
    </row>
    <row r="19" spans="1:12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60">
        <v>3</v>
      </c>
      <c r="F19" s="60">
        <v>5</v>
      </c>
      <c r="G19" s="93">
        <v>4</v>
      </c>
      <c r="H19" s="60">
        <v>2</v>
      </c>
      <c r="I19" s="60">
        <v>2</v>
      </c>
      <c r="J19" s="60">
        <v>2</v>
      </c>
      <c r="K19" s="26"/>
      <c r="L19" s="27"/>
    </row>
    <row r="31" spans="1:12" ht="18" customHeight="1" x14ac:dyDescent="0.4">
      <c r="L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7">
    <mergeCell ref="A17:A19"/>
    <mergeCell ref="B17:B19"/>
    <mergeCell ref="F8:F11"/>
    <mergeCell ref="H8:H11"/>
    <mergeCell ref="I8:J10"/>
    <mergeCell ref="K8:L11"/>
    <mergeCell ref="A12:A16"/>
    <mergeCell ref="B12:B13"/>
    <mergeCell ref="B14:B16"/>
    <mergeCell ref="A2:C2"/>
    <mergeCell ref="A3:E3"/>
    <mergeCell ref="A4:D5"/>
    <mergeCell ref="A8:A11"/>
    <mergeCell ref="B8:C11"/>
    <mergeCell ref="E8:E11"/>
    <mergeCell ref="D8:D11"/>
    <mergeCell ref="G8:G11"/>
  </mergeCells>
  <phoneticPr fontId="4"/>
  <printOptions horizontalCentered="1" verticalCentered="1"/>
  <pageMargins left="0.25" right="0.25" top="0.75" bottom="0.75" header="0.3" footer="0.3"/>
  <pageSetup paperSize="9" scale="6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8"/>
  <sheetViews>
    <sheetView zoomScale="61" zoomScaleNormal="61" zoomScaleSheetLayoutView="61" workbookViewId="0">
      <selection activeCell="G40" sqref="G40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6.875" style="37" customWidth="1"/>
    <col min="5" max="5" width="13.625" style="28" customWidth="1"/>
    <col min="6" max="7" width="13.875" style="28" customWidth="1"/>
    <col min="8" max="8" width="17.75" style="1" customWidth="1"/>
    <col min="9" max="9" width="22.125" style="1" customWidth="1"/>
    <col min="10" max="16384" width="9" style="1"/>
  </cols>
  <sheetData>
    <row r="1" spans="1:9" ht="30" customHeight="1" x14ac:dyDescent="0.4">
      <c r="A1" s="32"/>
      <c r="B1" s="42"/>
      <c r="C1" s="42"/>
      <c r="D1" s="42"/>
      <c r="G1" s="47" t="s">
        <v>24</v>
      </c>
    </row>
    <row r="2" spans="1:9" ht="35.85" customHeight="1" x14ac:dyDescent="0.4">
      <c r="A2" s="209" t="s">
        <v>14</v>
      </c>
      <c r="B2" s="210"/>
      <c r="C2" s="210"/>
      <c r="D2" s="75"/>
      <c r="E2" s="2"/>
      <c r="F2" s="51"/>
      <c r="G2" s="48" t="s">
        <v>25</v>
      </c>
      <c r="H2" s="51"/>
      <c r="I2" s="51"/>
    </row>
    <row r="3" spans="1:9" ht="35.85" customHeight="1" thickBot="1" x14ac:dyDescent="0.45">
      <c r="A3" s="211" t="s">
        <v>15</v>
      </c>
      <c r="B3" s="211"/>
      <c r="C3" s="211"/>
      <c r="D3" s="211"/>
      <c r="E3" s="211"/>
      <c r="F3" s="52"/>
      <c r="G3" s="48" t="s">
        <v>26</v>
      </c>
      <c r="H3" s="52"/>
      <c r="I3" s="52"/>
    </row>
    <row r="4" spans="1:9" ht="35.85" customHeight="1" x14ac:dyDescent="0.4">
      <c r="A4" s="241" t="s">
        <v>48</v>
      </c>
      <c r="B4" s="242"/>
      <c r="C4" s="242"/>
      <c r="D4" s="243"/>
      <c r="E4" s="76"/>
      <c r="F4" s="44"/>
      <c r="G4" s="48" t="s">
        <v>27</v>
      </c>
      <c r="H4" s="44"/>
      <c r="I4" s="44"/>
    </row>
    <row r="5" spans="1:9" ht="35.85" customHeight="1" thickBot="1" x14ac:dyDescent="0.45">
      <c r="A5" s="244"/>
      <c r="B5" s="245"/>
      <c r="C5" s="245"/>
      <c r="D5" s="246"/>
      <c r="E5" s="76"/>
      <c r="F5" s="44"/>
      <c r="G5" s="49" t="s">
        <v>28</v>
      </c>
      <c r="H5" s="44"/>
      <c r="I5" s="44"/>
    </row>
    <row r="6" spans="1:9" ht="35.85" customHeight="1" x14ac:dyDescent="0.35">
      <c r="A6" s="33"/>
      <c r="B6" s="34"/>
      <c r="C6" s="34"/>
      <c r="D6" s="34"/>
      <c r="E6" s="30"/>
      <c r="F6" s="44"/>
      <c r="G6" s="50" t="s">
        <v>29</v>
      </c>
      <c r="H6" s="44"/>
      <c r="I6" s="44"/>
    </row>
    <row r="7" spans="1:9" ht="15.75" customHeight="1" thickBot="1" x14ac:dyDescent="0.4">
      <c r="A7" s="35"/>
      <c r="B7" s="36"/>
      <c r="C7" s="36"/>
      <c r="D7" s="36"/>
      <c r="E7" s="3"/>
      <c r="F7" s="29"/>
      <c r="G7" s="29"/>
      <c r="H7" s="29"/>
      <c r="I7" s="29"/>
    </row>
    <row r="8" spans="1:9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229" t="s">
        <v>3</v>
      </c>
      <c r="G8" s="230"/>
      <c r="H8" s="199" t="s">
        <v>4</v>
      </c>
      <c r="I8" s="199"/>
    </row>
    <row r="9" spans="1:9" ht="28.5" customHeight="1" thickBot="1" x14ac:dyDescent="0.45">
      <c r="A9" s="219"/>
      <c r="B9" s="223"/>
      <c r="C9" s="223"/>
      <c r="D9" s="197"/>
      <c r="E9" s="188"/>
      <c r="F9" s="231"/>
      <c r="G9" s="232"/>
      <c r="H9" s="200"/>
      <c r="I9" s="200"/>
    </row>
    <row r="10" spans="1:9" ht="18.600000000000001" customHeight="1" x14ac:dyDescent="0.4">
      <c r="A10" s="220"/>
      <c r="B10" s="224"/>
      <c r="C10" s="224"/>
      <c r="D10" s="197"/>
      <c r="E10" s="188"/>
      <c r="F10" s="233" t="s">
        <v>5</v>
      </c>
      <c r="G10" s="233" t="s">
        <v>6</v>
      </c>
      <c r="H10" s="200"/>
      <c r="I10" s="200"/>
    </row>
    <row r="11" spans="1:9" ht="18.600000000000001" customHeight="1" thickBot="1" x14ac:dyDescent="0.45">
      <c r="A11" s="221"/>
      <c r="B11" s="225"/>
      <c r="C11" s="225"/>
      <c r="D11" s="198"/>
      <c r="E11" s="189"/>
      <c r="F11" s="234"/>
      <c r="G11" s="234"/>
      <c r="H11" s="201"/>
      <c r="I11" s="201"/>
    </row>
    <row r="12" spans="1:9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48</v>
      </c>
      <c r="F12" s="119"/>
      <c r="G12" s="119"/>
      <c r="H12" s="206"/>
      <c r="I12" s="207"/>
    </row>
    <row r="13" spans="1:9" ht="23.2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48</v>
      </c>
      <c r="F13" s="120"/>
      <c r="G13" s="86"/>
      <c r="H13" s="21"/>
      <c r="I13" s="11"/>
    </row>
    <row r="14" spans="1:9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44</v>
      </c>
      <c r="F14" s="107">
        <v>3</v>
      </c>
      <c r="G14" s="128"/>
      <c r="H14" s="68"/>
      <c r="I14" s="160"/>
    </row>
    <row r="15" spans="1:9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47</v>
      </c>
      <c r="F15" s="103"/>
      <c r="G15" s="103"/>
      <c r="H15" s="17"/>
      <c r="I15" s="18"/>
    </row>
    <row r="16" spans="1:9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47</v>
      </c>
      <c r="F16" s="121"/>
      <c r="G16" s="121"/>
      <c r="H16" s="21"/>
      <c r="I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46</v>
      </c>
      <c r="F17" s="122">
        <v>1</v>
      </c>
      <c r="G17" s="110"/>
      <c r="H17" s="68"/>
      <c r="I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47</v>
      </c>
      <c r="F18" s="103"/>
      <c r="G18" s="103"/>
      <c r="H18" s="17"/>
      <c r="I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71">
        <v>47</v>
      </c>
      <c r="F19" s="123"/>
      <c r="G19" s="123"/>
      <c r="H19" s="26"/>
      <c r="I19" s="27"/>
    </row>
    <row r="25" spans="1:11" ht="18" customHeight="1" x14ac:dyDescent="0.4">
      <c r="D25" s="1"/>
      <c r="E25" s="1"/>
      <c r="F25" s="1"/>
      <c r="G25" s="1"/>
    </row>
    <row r="26" spans="1:11" ht="18" customHeight="1" x14ac:dyDescent="0.4">
      <c r="D26" s="1"/>
      <c r="E26" s="1"/>
      <c r="F26" s="1"/>
      <c r="G26" s="1"/>
    </row>
    <row r="31" spans="1:11" ht="18" customHeight="1" x14ac:dyDescent="0.4">
      <c r="K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7">
    <mergeCell ref="A17:A19"/>
    <mergeCell ref="B17:B19"/>
    <mergeCell ref="F8:G9"/>
    <mergeCell ref="H8:I11"/>
    <mergeCell ref="F10:F11"/>
    <mergeCell ref="G10:G11"/>
    <mergeCell ref="A12:A16"/>
    <mergeCell ref="B12:B13"/>
    <mergeCell ref="H12:I12"/>
    <mergeCell ref="B14:B16"/>
    <mergeCell ref="A2:C2"/>
    <mergeCell ref="A3:E3"/>
    <mergeCell ref="A8:A11"/>
    <mergeCell ref="B8:C11"/>
    <mergeCell ref="E8:E11"/>
    <mergeCell ref="D8:D11"/>
    <mergeCell ref="A4:D5"/>
  </mergeCells>
  <phoneticPr fontId="4"/>
  <printOptions horizontalCentered="1" verticalCentered="1"/>
  <pageMargins left="0.25" right="0.25" top="0.75" bottom="0.75" header="0.3" footer="0.3"/>
  <pageSetup paperSize="9" scale="7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zoomScale="61" zoomScaleNormal="61" zoomScaleSheetLayoutView="61" workbookViewId="0">
      <selection activeCell="K38" sqref="K38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7.375" style="37" customWidth="1"/>
    <col min="5" max="9" width="10.625" style="28" customWidth="1"/>
    <col min="10" max="10" width="17.75" style="1" customWidth="1"/>
    <col min="11" max="11" width="22.125" style="1" customWidth="1"/>
    <col min="12" max="16384" width="9" style="1"/>
  </cols>
  <sheetData>
    <row r="1" spans="1:11" ht="30" customHeight="1" x14ac:dyDescent="0.4">
      <c r="A1" s="32"/>
      <c r="B1" s="42"/>
      <c r="C1" s="42"/>
      <c r="D1" s="42"/>
      <c r="I1" s="47" t="s">
        <v>24</v>
      </c>
    </row>
    <row r="2" spans="1:11" ht="35.85" customHeight="1" x14ac:dyDescent="0.4">
      <c r="A2" s="209" t="s">
        <v>14</v>
      </c>
      <c r="B2" s="210"/>
      <c r="C2" s="210"/>
      <c r="D2" s="75"/>
      <c r="E2" s="2"/>
      <c r="F2" s="2"/>
      <c r="G2" s="2"/>
      <c r="H2" s="51"/>
      <c r="I2" s="48" t="s">
        <v>25</v>
      </c>
      <c r="J2" s="51"/>
      <c r="K2" s="51"/>
    </row>
    <row r="3" spans="1:11" ht="35.85" customHeight="1" thickBot="1" x14ac:dyDescent="0.45">
      <c r="A3" s="211" t="s">
        <v>15</v>
      </c>
      <c r="B3" s="211"/>
      <c r="C3" s="211"/>
      <c r="D3" s="211"/>
      <c r="E3" s="211"/>
      <c r="F3" s="69"/>
      <c r="G3" s="69"/>
      <c r="H3" s="52"/>
      <c r="I3" s="48" t="s">
        <v>26</v>
      </c>
      <c r="J3" s="52"/>
      <c r="K3" s="52"/>
    </row>
    <row r="4" spans="1:11" ht="35.85" customHeight="1" x14ac:dyDescent="0.4">
      <c r="A4" s="212" t="s">
        <v>42</v>
      </c>
      <c r="B4" s="213"/>
      <c r="C4" s="213"/>
      <c r="D4" s="214"/>
      <c r="E4" s="76"/>
      <c r="F4" s="45"/>
      <c r="G4" s="45"/>
      <c r="H4" s="44"/>
      <c r="I4" s="48" t="s">
        <v>27</v>
      </c>
      <c r="J4" s="44"/>
      <c r="K4" s="44"/>
    </row>
    <row r="5" spans="1:11" ht="35.85" customHeight="1" thickBot="1" x14ac:dyDescent="0.45">
      <c r="A5" s="215"/>
      <c r="B5" s="216"/>
      <c r="C5" s="216"/>
      <c r="D5" s="217"/>
      <c r="E5" s="76"/>
      <c r="F5" s="45"/>
      <c r="G5" s="45"/>
      <c r="H5" s="44"/>
      <c r="I5" s="49" t="s">
        <v>28</v>
      </c>
      <c r="J5" s="44"/>
      <c r="K5" s="44"/>
    </row>
    <row r="6" spans="1:11" ht="35.85" customHeight="1" x14ac:dyDescent="0.35">
      <c r="A6" s="33"/>
      <c r="B6" s="34"/>
      <c r="C6" s="34"/>
      <c r="D6" s="34"/>
      <c r="E6" s="30"/>
      <c r="F6" s="30"/>
      <c r="G6" s="30"/>
      <c r="H6" s="44"/>
      <c r="I6" s="50" t="s">
        <v>29</v>
      </c>
      <c r="J6" s="44"/>
      <c r="K6" s="44"/>
    </row>
    <row r="7" spans="1:11" ht="15.75" customHeight="1" thickBot="1" x14ac:dyDescent="0.4">
      <c r="A7" s="35"/>
      <c r="B7" s="36"/>
      <c r="C7" s="36"/>
      <c r="D7" s="36"/>
      <c r="E7" s="3"/>
      <c r="F7" s="3"/>
      <c r="G7" s="3"/>
      <c r="H7" s="29"/>
      <c r="I7" s="29"/>
      <c r="J7" s="29"/>
      <c r="K7" s="29"/>
    </row>
    <row r="8" spans="1:11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250" t="s">
        <v>2</v>
      </c>
      <c r="F8" s="247" t="s">
        <v>40</v>
      </c>
      <c r="G8" s="187" t="s">
        <v>41</v>
      </c>
      <c r="H8" s="229" t="s">
        <v>3</v>
      </c>
      <c r="I8" s="230"/>
      <c r="J8" s="199" t="s">
        <v>4</v>
      </c>
      <c r="K8" s="199"/>
    </row>
    <row r="9" spans="1:11" ht="28.5" customHeight="1" thickBot="1" x14ac:dyDescent="0.45">
      <c r="A9" s="219"/>
      <c r="B9" s="223"/>
      <c r="C9" s="223"/>
      <c r="D9" s="197"/>
      <c r="E9" s="251"/>
      <c r="F9" s="188"/>
      <c r="G9" s="248"/>
      <c r="H9" s="231"/>
      <c r="I9" s="232"/>
      <c r="J9" s="200"/>
      <c r="K9" s="200"/>
    </row>
    <row r="10" spans="1:11" ht="15" customHeight="1" x14ac:dyDescent="0.4">
      <c r="A10" s="220"/>
      <c r="B10" s="224"/>
      <c r="C10" s="224"/>
      <c r="D10" s="197"/>
      <c r="E10" s="252"/>
      <c r="F10" s="188"/>
      <c r="G10" s="248"/>
      <c r="H10" s="233" t="s">
        <v>5</v>
      </c>
      <c r="I10" s="233" t="s">
        <v>6</v>
      </c>
      <c r="J10" s="200"/>
      <c r="K10" s="200"/>
    </row>
    <row r="11" spans="1:11" ht="23.25" customHeight="1" thickBot="1" x14ac:dyDescent="0.45">
      <c r="A11" s="221"/>
      <c r="B11" s="225"/>
      <c r="C11" s="225"/>
      <c r="D11" s="198"/>
      <c r="E11" s="167" t="s">
        <v>65</v>
      </c>
      <c r="F11" s="189"/>
      <c r="G11" s="249"/>
      <c r="H11" s="234"/>
      <c r="I11" s="234"/>
      <c r="J11" s="201"/>
      <c r="K11" s="201"/>
    </row>
    <row r="12" spans="1:11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13</v>
      </c>
      <c r="F12" s="70">
        <v>2</v>
      </c>
      <c r="G12" s="70">
        <v>2</v>
      </c>
      <c r="H12" s="119"/>
      <c r="I12" s="119"/>
      <c r="J12" s="206"/>
      <c r="K12" s="207"/>
    </row>
    <row r="13" spans="1:11" ht="23.2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13</v>
      </c>
      <c r="F13" s="58">
        <v>2</v>
      </c>
      <c r="G13" s="58">
        <v>2</v>
      </c>
      <c r="H13" s="120"/>
      <c r="I13" s="120"/>
      <c r="J13" s="10"/>
      <c r="K13" s="11"/>
    </row>
    <row r="14" spans="1:11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13</v>
      </c>
      <c r="F14" s="57">
        <v>2</v>
      </c>
      <c r="G14" s="57">
        <v>2</v>
      </c>
      <c r="H14" s="107"/>
      <c r="I14" s="104"/>
      <c r="J14" s="68"/>
      <c r="K14" s="15"/>
    </row>
    <row r="15" spans="1:11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13</v>
      </c>
      <c r="F15" s="8">
        <v>2</v>
      </c>
      <c r="G15" s="8">
        <v>2</v>
      </c>
      <c r="H15" s="103"/>
      <c r="I15" s="103"/>
      <c r="J15" s="17"/>
      <c r="K15" s="18"/>
    </row>
    <row r="16" spans="1:11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13</v>
      </c>
      <c r="F16" s="19">
        <v>2</v>
      </c>
      <c r="G16" s="19">
        <v>2</v>
      </c>
      <c r="H16" s="121"/>
      <c r="I16" s="121"/>
      <c r="J16" s="21"/>
      <c r="K16" s="22"/>
    </row>
    <row r="17" spans="1:13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13</v>
      </c>
      <c r="F17" s="12">
        <v>2</v>
      </c>
      <c r="G17" s="12">
        <v>2</v>
      </c>
      <c r="H17" s="107"/>
      <c r="I17" s="110"/>
      <c r="J17" s="68"/>
      <c r="K17" s="15"/>
    </row>
    <row r="18" spans="1:13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13</v>
      </c>
      <c r="F18" s="8">
        <v>2</v>
      </c>
      <c r="G18" s="8">
        <v>2</v>
      </c>
      <c r="H18" s="103"/>
      <c r="I18" s="103"/>
      <c r="J18" s="17"/>
      <c r="K18" s="18"/>
    </row>
    <row r="19" spans="1:13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166">
        <v>13</v>
      </c>
      <c r="F19" s="71">
        <v>2</v>
      </c>
      <c r="G19" s="71">
        <v>2</v>
      </c>
      <c r="H19" s="123"/>
      <c r="I19" s="123"/>
      <c r="J19" s="26"/>
      <c r="K19" s="27"/>
    </row>
    <row r="31" spans="1:13" ht="18" customHeight="1" x14ac:dyDescent="0.4">
      <c r="M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9">
    <mergeCell ref="A17:A19"/>
    <mergeCell ref="B17:B19"/>
    <mergeCell ref="F8:F11"/>
    <mergeCell ref="G8:G11"/>
    <mergeCell ref="H8:I9"/>
    <mergeCell ref="E8:E10"/>
    <mergeCell ref="J8:K11"/>
    <mergeCell ref="H10:H11"/>
    <mergeCell ref="I10:I11"/>
    <mergeCell ref="A12:A16"/>
    <mergeCell ref="B12:B13"/>
    <mergeCell ref="J12:K12"/>
    <mergeCell ref="B14:B16"/>
    <mergeCell ref="A2:C2"/>
    <mergeCell ref="A3:E3"/>
    <mergeCell ref="A4:D5"/>
    <mergeCell ref="A8:A11"/>
    <mergeCell ref="B8:C11"/>
    <mergeCell ref="D8:D11"/>
  </mergeCells>
  <phoneticPr fontId="4"/>
  <printOptions horizontalCentered="1" verticalCentered="1"/>
  <pageMargins left="0.25" right="0.25" top="0.75" bottom="0.75" header="0.3" footer="0.3"/>
  <pageSetup paperSize="9" scale="6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8"/>
  <sheetViews>
    <sheetView topLeftCell="A4" zoomScale="61" zoomScaleNormal="61" zoomScaleSheetLayoutView="61" workbookViewId="0">
      <selection activeCell="J47" sqref="J47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9" style="37" customWidth="1"/>
    <col min="5" max="8" width="11.625" style="28" customWidth="1"/>
    <col min="9" max="9" width="15.25" style="1" customWidth="1"/>
    <col min="10" max="10" width="20.125" style="1" customWidth="1"/>
    <col min="11" max="16384" width="9" style="1"/>
  </cols>
  <sheetData>
    <row r="1" spans="1:10" ht="30" customHeight="1" x14ac:dyDescent="0.4">
      <c r="A1" s="32"/>
      <c r="B1" s="42"/>
      <c r="C1" s="42"/>
      <c r="D1" s="42"/>
      <c r="H1" s="47" t="s">
        <v>24</v>
      </c>
    </row>
    <row r="2" spans="1:10" ht="35.85" customHeight="1" x14ac:dyDescent="0.4">
      <c r="A2" s="209" t="s">
        <v>14</v>
      </c>
      <c r="B2" s="210"/>
      <c r="C2" s="210"/>
      <c r="D2" s="75"/>
      <c r="E2" s="2"/>
      <c r="F2" s="2"/>
      <c r="G2" s="51"/>
      <c r="H2" s="48" t="s">
        <v>25</v>
      </c>
      <c r="I2" s="51"/>
      <c r="J2" s="51"/>
    </row>
    <row r="3" spans="1:10" ht="35.85" customHeight="1" thickBot="1" x14ac:dyDescent="0.45">
      <c r="A3" s="211" t="s">
        <v>15</v>
      </c>
      <c r="B3" s="211"/>
      <c r="C3" s="211"/>
      <c r="D3" s="211"/>
      <c r="E3" s="211"/>
      <c r="F3" s="72"/>
      <c r="G3" s="52"/>
      <c r="H3" s="48" t="s">
        <v>26</v>
      </c>
      <c r="I3" s="52"/>
      <c r="J3" s="52"/>
    </row>
    <row r="4" spans="1:10" ht="35.85" customHeight="1" x14ac:dyDescent="0.4">
      <c r="A4" s="235" t="s">
        <v>43</v>
      </c>
      <c r="B4" s="236"/>
      <c r="C4" s="236"/>
      <c r="D4" s="237"/>
      <c r="E4" s="77"/>
      <c r="F4" s="56"/>
      <c r="G4" s="44"/>
      <c r="H4" s="48" t="s">
        <v>27</v>
      </c>
      <c r="I4" s="44"/>
      <c r="J4" s="44"/>
    </row>
    <row r="5" spans="1:10" ht="35.85" customHeight="1" thickBot="1" x14ac:dyDescent="0.45">
      <c r="A5" s="238"/>
      <c r="B5" s="239"/>
      <c r="C5" s="239"/>
      <c r="D5" s="240"/>
      <c r="E5" s="77"/>
      <c r="F5" s="56"/>
      <c r="G5" s="44"/>
      <c r="H5" s="49" t="s">
        <v>28</v>
      </c>
      <c r="I5" s="44"/>
      <c r="J5" s="44"/>
    </row>
    <row r="6" spans="1:10" ht="35.85" customHeight="1" x14ac:dyDescent="0.35">
      <c r="A6" s="33"/>
      <c r="B6" s="34"/>
      <c r="C6" s="34"/>
      <c r="D6" s="34"/>
      <c r="E6" s="30"/>
      <c r="F6" s="30"/>
      <c r="G6" s="44"/>
      <c r="H6" s="50" t="s">
        <v>29</v>
      </c>
      <c r="I6" s="44"/>
      <c r="J6" s="44"/>
    </row>
    <row r="7" spans="1:10" ht="15.75" customHeight="1" thickBot="1" x14ac:dyDescent="0.4">
      <c r="A7" s="35"/>
      <c r="B7" s="36"/>
      <c r="C7" s="36"/>
      <c r="D7" s="36"/>
      <c r="E7" s="3"/>
      <c r="F7" s="3"/>
      <c r="G7" s="29"/>
      <c r="H7" s="29"/>
      <c r="I7" s="29"/>
      <c r="J7" s="29"/>
    </row>
    <row r="8" spans="1:10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44</v>
      </c>
      <c r="F8" s="187" t="s">
        <v>45</v>
      </c>
      <c r="G8" s="229" t="s">
        <v>3</v>
      </c>
      <c r="H8" s="230"/>
      <c r="I8" s="199" t="s">
        <v>4</v>
      </c>
      <c r="J8" s="199"/>
    </row>
    <row r="9" spans="1:10" ht="28.5" customHeight="1" thickBot="1" x14ac:dyDescent="0.45">
      <c r="A9" s="219"/>
      <c r="B9" s="223"/>
      <c r="C9" s="223"/>
      <c r="D9" s="197"/>
      <c r="E9" s="188"/>
      <c r="F9" s="248"/>
      <c r="G9" s="231"/>
      <c r="H9" s="232"/>
      <c r="I9" s="200"/>
      <c r="J9" s="200"/>
    </row>
    <row r="10" spans="1:10" ht="18.600000000000001" customHeight="1" x14ac:dyDescent="0.4">
      <c r="A10" s="220"/>
      <c r="B10" s="224"/>
      <c r="C10" s="224"/>
      <c r="D10" s="197"/>
      <c r="E10" s="188"/>
      <c r="F10" s="248"/>
      <c r="G10" s="233" t="s">
        <v>5</v>
      </c>
      <c r="H10" s="233" t="s">
        <v>6</v>
      </c>
      <c r="I10" s="200"/>
      <c r="J10" s="200"/>
    </row>
    <row r="11" spans="1:10" ht="18.600000000000001" customHeight="1" thickBot="1" x14ac:dyDescent="0.45">
      <c r="A11" s="221"/>
      <c r="B11" s="225"/>
      <c r="C11" s="225"/>
      <c r="D11" s="198"/>
      <c r="E11" s="189"/>
      <c r="F11" s="249"/>
      <c r="G11" s="234"/>
      <c r="H11" s="234"/>
      <c r="I11" s="201"/>
      <c r="J11" s="201"/>
    </row>
    <row r="12" spans="1:10" ht="23.45" customHeight="1" x14ac:dyDescent="0.4">
      <c r="A12" s="202">
        <f>山城!A12:D19</f>
        <v>46152</v>
      </c>
      <c r="B12" s="204" t="s">
        <v>7</v>
      </c>
      <c r="C12" s="155" t="s">
        <v>8</v>
      </c>
      <c r="D12" s="124" t="str">
        <f>山城!D12</f>
        <v>ごぼうと竹輪の煮物</v>
      </c>
      <c r="E12" s="4">
        <v>0</v>
      </c>
      <c r="F12" s="73">
        <v>0</v>
      </c>
      <c r="G12" s="5"/>
      <c r="H12" s="5"/>
      <c r="I12" s="6"/>
      <c r="J12" s="7"/>
    </row>
    <row r="13" spans="1:10" ht="23.45" customHeight="1" x14ac:dyDescent="0.4">
      <c r="A13" s="203"/>
      <c r="B13" s="205"/>
      <c r="C13" s="156" t="s">
        <v>9</v>
      </c>
      <c r="D13" s="105" t="s">
        <v>75</v>
      </c>
      <c r="E13" s="8">
        <v>0</v>
      </c>
      <c r="F13" s="58">
        <v>0</v>
      </c>
      <c r="G13" s="9"/>
      <c r="H13" s="9"/>
      <c r="I13" s="10"/>
      <c r="J13" s="11"/>
    </row>
    <row r="14" spans="1:10" ht="23.45" customHeight="1" x14ac:dyDescent="0.4">
      <c r="A14" s="203"/>
      <c r="B14" s="184" t="s">
        <v>10</v>
      </c>
      <c r="C14" s="152" t="s">
        <v>11</v>
      </c>
      <c r="D14" s="106" t="s">
        <v>76</v>
      </c>
      <c r="E14" s="12">
        <v>0</v>
      </c>
      <c r="F14" s="57">
        <v>0</v>
      </c>
      <c r="G14" s="13"/>
      <c r="H14" s="14"/>
      <c r="I14" s="68"/>
      <c r="J14" s="15"/>
    </row>
    <row r="15" spans="1:10" ht="23.45" customHeight="1" x14ac:dyDescent="0.4">
      <c r="A15" s="203"/>
      <c r="B15" s="185"/>
      <c r="C15" s="153" t="s">
        <v>8</v>
      </c>
      <c r="D15" s="111" t="s">
        <v>77</v>
      </c>
      <c r="E15" s="8">
        <v>0</v>
      </c>
      <c r="F15" s="57">
        <v>0</v>
      </c>
      <c r="G15" s="16"/>
      <c r="H15" s="16"/>
      <c r="I15" s="17"/>
      <c r="J15" s="18"/>
    </row>
    <row r="16" spans="1:10" ht="23.45" customHeight="1" x14ac:dyDescent="0.4">
      <c r="A16" s="203"/>
      <c r="B16" s="208"/>
      <c r="C16" s="157" t="s">
        <v>9</v>
      </c>
      <c r="D16" s="85" t="str">
        <f>山城!D16</f>
        <v>ﾌﾞﾛｯｺﾘｰのちりめん和え</v>
      </c>
      <c r="E16" s="58">
        <v>0</v>
      </c>
      <c r="F16" s="58">
        <v>0</v>
      </c>
      <c r="G16" s="20"/>
      <c r="H16" s="20"/>
      <c r="I16" s="21"/>
      <c r="J16" s="22"/>
    </row>
    <row r="17" spans="1:12" ht="23.45" customHeight="1" x14ac:dyDescent="0.4">
      <c r="A17" s="182" t="str">
        <f>TEXT(A12,"(aaa)")</f>
        <v>(日)</v>
      </c>
      <c r="B17" s="184" t="s">
        <v>12</v>
      </c>
      <c r="C17" s="152" t="s">
        <v>13</v>
      </c>
      <c r="D17" s="106" t="s">
        <v>78</v>
      </c>
      <c r="E17" s="12">
        <v>0</v>
      </c>
      <c r="F17" s="57">
        <v>0</v>
      </c>
      <c r="G17" s="23"/>
      <c r="H17" s="24"/>
      <c r="I17" s="68"/>
      <c r="J17" s="15"/>
    </row>
    <row r="18" spans="1:12" ht="23.45" customHeight="1" x14ac:dyDescent="0.4">
      <c r="A18" s="182"/>
      <c r="B18" s="185"/>
      <c r="C18" s="153" t="s">
        <v>8</v>
      </c>
      <c r="D18" s="78" t="str">
        <f>山城!D18</f>
        <v>ジャーマンポテト</v>
      </c>
      <c r="E18" s="8">
        <v>0</v>
      </c>
      <c r="F18" s="57">
        <v>0</v>
      </c>
      <c r="G18" s="16"/>
      <c r="H18" s="16"/>
      <c r="I18" s="17"/>
      <c r="J18" s="18"/>
    </row>
    <row r="19" spans="1:12" ht="23.45" customHeight="1" thickBot="1" x14ac:dyDescent="0.45">
      <c r="A19" s="183"/>
      <c r="B19" s="186"/>
      <c r="C19" s="154" t="s">
        <v>9</v>
      </c>
      <c r="D19" s="112" t="str">
        <f>山城!D19</f>
        <v>ほうれん草の和え物</v>
      </c>
      <c r="E19" s="43">
        <v>0</v>
      </c>
      <c r="F19" s="74">
        <v>0</v>
      </c>
      <c r="G19" s="25"/>
      <c r="H19" s="25"/>
      <c r="I19" s="26"/>
      <c r="J19" s="27"/>
    </row>
    <row r="31" spans="1:12" ht="18" customHeight="1" x14ac:dyDescent="0.4">
      <c r="L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7">
    <mergeCell ref="A2:C2"/>
    <mergeCell ref="A3:E3"/>
    <mergeCell ref="A4:D5"/>
    <mergeCell ref="A8:A11"/>
    <mergeCell ref="B8:C11"/>
    <mergeCell ref="E8:E11"/>
    <mergeCell ref="A17:A19"/>
    <mergeCell ref="B17:B19"/>
    <mergeCell ref="G8:H9"/>
    <mergeCell ref="I8:J11"/>
    <mergeCell ref="G10:G11"/>
    <mergeCell ref="H10:H11"/>
    <mergeCell ref="A12:A16"/>
    <mergeCell ref="B12:B13"/>
    <mergeCell ref="B14:B16"/>
    <mergeCell ref="F8:F11"/>
    <mergeCell ref="D8:D11"/>
  </mergeCells>
  <phoneticPr fontId="4"/>
  <printOptions horizontalCentered="1" verticalCentered="1"/>
  <pageMargins left="0.25" right="0.25" top="0.75" bottom="0.75" header="0.3" footer="0.3"/>
  <pageSetup paperSize="9" scale="6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8"/>
  <sheetViews>
    <sheetView topLeftCell="A4" zoomScale="61" zoomScaleNormal="61" zoomScaleSheetLayoutView="61" workbookViewId="0">
      <selection activeCell="J43" sqref="J43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9" style="37" customWidth="1"/>
    <col min="5" max="5" width="13.625" style="28" customWidth="1"/>
    <col min="6" max="7" width="14.375" style="28" customWidth="1"/>
    <col min="8" max="8" width="17.75" style="1" customWidth="1"/>
    <col min="9" max="9" width="22.125" style="1" customWidth="1"/>
    <col min="10" max="16384" width="9" style="1"/>
  </cols>
  <sheetData>
    <row r="1" spans="1:9" ht="30" customHeight="1" x14ac:dyDescent="0.4">
      <c r="A1" s="32"/>
      <c r="B1" s="31"/>
      <c r="C1" s="31"/>
      <c r="D1" s="42"/>
      <c r="G1" s="47" t="s">
        <v>24</v>
      </c>
    </row>
    <row r="2" spans="1:9" ht="35.85" customHeight="1" x14ac:dyDescent="0.4">
      <c r="A2" s="209" t="s">
        <v>14</v>
      </c>
      <c r="B2" s="210"/>
      <c r="C2" s="210"/>
      <c r="D2" s="75"/>
      <c r="E2" s="2"/>
      <c r="F2" s="51"/>
      <c r="G2" s="48" t="s">
        <v>25</v>
      </c>
      <c r="H2" s="51"/>
      <c r="I2" s="51"/>
    </row>
    <row r="3" spans="1:9" ht="35.85" customHeight="1" thickBot="1" x14ac:dyDescent="0.45">
      <c r="A3" s="211" t="s">
        <v>15</v>
      </c>
      <c r="B3" s="211"/>
      <c r="C3" s="211"/>
      <c r="D3" s="211"/>
      <c r="E3" s="211"/>
      <c r="F3" s="52"/>
      <c r="G3" s="48" t="s">
        <v>26</v>
      </c>
      <c r="H3" s="52"/>
      <c r="I3" s="52"/>
    </row>
    <row r="4" spans="1:9" ht="35.85" customHeight="1" x14ac:dyDescent="0.4">
      <c r="A4" s="212" t="s">
        <v>16</v>
      </c>
      <c r="B4" s="213"/>
      <c r="C4" s="213"/>
      <c r="D4" s="214"/>
      <c r="E4" s="76"/>
      <c r="F4" s="44"/>
      <c r="G4" s="48" t="s">
        <v>27</v>
      </c>
      <c r="H4" s="44"/>
      <c r="I4" s="44"/>
    </row>
    <row r="5" spans="1:9" ht="35.85" customHeight="1" thickBot="1" x14ac:dyDescent="0.45">
      <c r="A5" s="215"/>
      <c r="B5" s="216"/>
      <c r="C5" s="216"/>
      <c r="D5" s="217"/>
      <c r="E5" s="76"/>
      <c r="F5" s="44"/>
      <c r="G5" s="49" t="s">
        <v>28</v>
      </c>
      <c r="H5" s="44"/>
      <c r="I5" s="44"/>
    </row>
    <row r="6" spans="1:9" ht="35.85" customHeight="1" x14ac:dyDescent="0.35">
      <c r="A6" s="33"/>
      <c r="B6" s="34"/>
      <c r="C6" s="34"/>
      <c r="D6" s="34"/>
      <c r="E6" s="30"/>
      <c r="F6" s="44"/>
      <c r="G6" s="50" t="s">
        <v>29</v>
      </c>
      <c r="H6" s="44"/>
      <c r="I6" s="44"/>
    </row>
    <row r="7" spans="1:9" ht="15.75" customHeight="1" thickBot="1" x14ac:dyDescent="0.4">
      <c r="A7" s="35"/>
      <c r="B7" s="36"/>
      <c r="C7" s="36"/>
      <c r="D7" s="36"/>
      <c r="E7" s="3"/>
      <c r="F7" s="29"/>
      <c r="G7" s="29"/>
      <c r="H7" s="29"/>
      <c r="I7" s="29"/>
    </row>
    <row r="8" spans="1:9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229" t="s">
        <v>3</v>
      </c>
      <c r="G8" s="230"/>
      <c r="H8" s="199" t="s">
        <v>4</v>
      </c>
      <c r="I8" s="199"/>
    </row>
    <row r="9" spans="1:9" ht="28.5" customHeight="1" thickBot="1" x14ac:dyDescent="0.45">
      <c r="A9" s="219"/>
      <c r="B9" s="223"/>
      <c r="C9" s="223"/>
      <c r="D9" s="197"/>
      <c r="E9" s="188"/>
      <c r="F9" s="231"/>
      <c r="G9" s="232"/>
      <c r="H9" s="200"/>
      <c r="I9" s="200"/>
    </row>
    <row r="10" spans="1:9" ht="18.600000000000001" customHeight="1" x14ac:dyDescent="0.4">
      <c r="A10" s="220"/>
      <c r="B10" s="224"/>
      <c r="C10" s="224"/>
      <c r="D10" s="197"/>
      <c r="E10" s="188"/>
      <c r="F10" s="233" t="s">
        <v>5</v>
      </c>
      <c r="G10" s="233" t="s">
        <v>6</v>
      </c>
      <c r="H10" s="200"/>
      <c r="I10" s="200"/>
    </row>
    <row r="11" spans="1:9" ht="18.600000000000001" customHeight="1" thickBot="1" x14ac:dyDescent="0.45">
      <c r="A11" s="221"/>
      <c r="B11" s="225"/>
      <c r="C11" s="225"/>
      <c r="D11" s="198"/>
      <c r="E11" s="189"/>
      <c r="F11" s="234"/>
      <c r="G11" s="234"/>
      <c r="H11" s="201"/>
      <c r="I11" s="201"/>
    </row>
    <row r="12" spans="1:9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/>
      <c r="F12" s="5"/>
      <c r="G12" s="5"/>
      <c r="H12" s="206"/>
      <c r="I12" s="207"/>
    </row>
    <row r="13" spans="1:9" ht="23.2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/>
      <c r="F13" s="9"/>
      <c r="G13" s="9"/>
      <c r="H13" s="10"/>
      <c r="I13" s="11"/>
    </row>
    <row r="14" spans="1:9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24</v>
      </c>
      <c r="F14" s="13"/>
      <c r="G14" s="97"/>
      <c r="H14" s="68"/>
      <c r="I14" s="15"/>
    </row>
    <row r="15" spans="1:9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23</v>
      </c>
      <c r="F15" s="16" t="s">
        <v>89</v>
      </c>
      <c r="G15" s="16"/>
      <c r="H15" s="17"/>
      <c r="I15" s="18"/>
    </row>
    <row r="16" spans="1:9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24</v>
      </c>
      <c r="F16" s="20"/>
      <c r="G16" s="20"/>
      <c r="H16" s="21"/>
      <c r="I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16</v>
      </c>
      <c r="F17" s="23"/>
      <c r="G17" s="103"/>
      <c r="H17" s="68"/>
      <c r="I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16</v>
      </c>
      <c r="F18" s="16"/>
      <c r="G18" s="16"/>
      <c r="H18" s="17"/>
      <c r="I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25">
        <v>16</v>
      </c>
      <c r="F19" s="25"/>
      <c r="G19" s="25"/>
      <c r="H19" s="26"/>
      <c r="I19" s="27"/>
    </row>
    <row r="31" spans="1:11" ht="18" customHeight="1" x14ac:dyDescent="0.4">
      <c r="K31" s="1" t="s">
        <v>36</v>
      </c>
    </row>
    <row r="38" spans="1:4" s="28" customFormat="1" ht="18" customHeight="1" x14ac:dyDescent="0.4">
      <c r="A38" s="37"/>
      <c r="B38" s="37"/>
      <c r="C38" s="37"/>
      <c r="D38" s="37"/>
    </row>
  </sheetData>
  <mergeCells count="17">
    <mergeCell ref="A2:C2"/>
    <mergeCell ref="A3:E3"/>
    <mergeCell ref="A4:D5"/>
    <mergeCell ref="A8:A11"/>
    <mergeCell ref="B8:C11"/>
    <mergeCell ref="E8:E11"/>
    <mergeCell ref="A17:A19"/>
    <mergeCell ref="B17:B19"/>
    <mergeCell ref="F8:G9"/>
    <mergeCell ref="H8:I11"/>
    <mergeCell ref="F10:F11"/>
    <mergeCell ref="G10:G11"/>
    <mergeCell ref="A12:A16"/>
    <mergeCell ref="B12:B13"/>
    <mergeCell ref="B14:B16"/>
    <mergeCell ref="H12:I12"/>
    <mergeCell ref="D8:D11"/>
  </mergeCells>
  <phoneticPr fontId="4"/>
  <printOptions horizontalCentered="1" verticalCentered="1"/>
  <pageMargins left="0.25" right="0.25" top="0.75" bottom="0.75" header="0.3" footer="0.3"/>
  <pageSetup paperSize="9" scale="6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topLeftCell="A4" zoomScale="61" zoomScaleNormal="61" zoomScaleSheetLayoutView="61" workbookViewId="0">
      <selection activeCell="M44" sqref="M44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9.875" style="37" customWidth="1"/>
    <col min="5" max="8" width="10.75" style="28" customWidth="1"/>
    <col min="9" max="9" width="14.75" style="1" customWidth="1"/>
    <col min="10" max="10" width="19.875" style="1" customWidth="1"/>
    <col min="11" max="16384" width="9" style="1"/>
  </cols>
  <sheetData>
    <row r="1" spans="1:10" ht="30" customHeight="1" x14ac:dyDescent="0.4">
      <c r="A1" s="32"/>
      <c r="B1" s="39"/>
      <c r="C1" s="39"/>
      <c r="D1" s="42"/>
      <c r="H1" s="47" t="s">
        <v>24</v>
      </c>
    </row>
    <row r="2" spans="1:10" ht="35.85" customHeight="1" x14ac:dyDescent="0.4">
      <c r="A2" s="209" t="s">
        <v>14</v>
      </c>
      <c r="B2" s="210"/>
      <c r="C2" s="210"/>
      <c r="D2" s="75"/>
      <c r="E2" s="2"/>
      <c r="F2" s="2"/>
      <c r="G2" s="51"/>
      <c r="H2" s="48" t="s">
        <v>25</v>
      </c>
      <c r="I2" s="51"/>
      <c r="J2" s="51"/>
    </row>
    <row r="3" spans="1:10" ht="35.85" customHeight="1" thickBot="1" x14ac:dyDescent="0.45">
      <c r="A3" s="211" t="s">
        <v>15</v>
      </c>
      <c r="B3" s="211"/>
      <c r="C3" s="211"/>
      <c r="D3" s="211"/>
      <c r="E3" s="211"/>
      <c r="F3" s="55"/>
      <c r="G3" s="52"/>
      <c r="H3" s="48" t="s">
        <v>26</v>
      </c>
      <c r="I3" s="52"/>
      <c r="J3" s="52"/>
    </row>
    <row r="4" spans="1:10" ht="35.85" customHeight="1" x14ac:dyDescent="0.4">
      <c r="A4" s="235" t="s">
        <v>23</v>
      </c>
      <c r="B4" s="236"/>
      <c r="C4" s="236"/>
      <c r="D4" s="237"/>
      <c r="E4" s="77"/>
      <c r="F4" s="56"/>
      <c r="G4" s="44"/>
      <c r="H4" s="48" t="s">
        <v>27</v>
      </c>
      <c r="I4" s="44"/>
      <c r="J4" s="44"/>
    </row>
    <row r="5" spans="1:10" ht="35.85" customHeight="1" thickBot="1" x14ac:dyDescent="0.45">
      <c r="A5" s="238"/>
      <c r="B5" s="239"/>
      <c r="C5" s="239"/>
      <c r="D5" s="240"/>
      <c r="E5" s="77"/>
      <c r="F5" s="56"/>
      <c r="G5" s="44"/>
      <c r="H5" s="49" t="s">
        <v>28</v>
      </c>
      <c r="I5" s="44"/>
      <c r="J5" s="44"/>
    </row>
    <row r="6" spans="1:10" ht="35.85" customHeight="1" x14ac:dyDescent="0.35">
      <c r="A6" s="33"/>
      <c r="B6" s="34"/>
      <c r="C6" s="34"/>
      <c r="D6" s="34"/>
      <c r="E6" s="30"/>
      <c r="F6" s="30"/>
      <c r="G6" s="44"/>
      <c r="H6" s="50" t="s">
        <v>29</v>
      </c>
      <c r="I6" s="44"/>
      <c r="J6" s="44"/>
    </row>
    <row r="7" spans="1:10" ht="15.75" customHeight="1" thickBot="1" x14ac:dyDescent="0.4">
      <c r="A7" s="35"/>
      <c r="B7" s="36"/>
      <c r="C7" s="36"/>
      <c r="D7" s="36"/>
      <c r="E7" s="3"/>
      <c r="F7" s="3"/>
      <c r="G7" s="29"/>
      <c r="H7" s="29"/>
      <c r="I7" s="29"/>
      <c r="J7" s="29"/>
    </row>
    <row r="8" spans="1:10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32</v>
      </c>
      <c r="G8" s="229" t="s">
        <v>3</v>
      </c>
      <c r="H8" s="230"/>
      <c r="I8" s="199" t="s">
        <v>4</v>
      </c>
      <c r="J8" s="199"/>
    </row>
    <row r="9" spans="1:10" ht="28.5" customHeight="1" thickBot="1" x14ac:dyDescent="0.45">
      <c r="A9" s="219"/>
      <c r="B9" s="223"/>
      <c r="C9" s="223"/>
      <c r="D9" s="197"/>
      <c r="E9" s="188"/>
      <c r="F9" s="188"/>
      <c r="G9" s="231"/>
      <c r="H9" s="232"/>
      <c r="I9" s="200"/>
      <c r="J9" s="200"/>
    </row>
    <row r="10" spans="1:10" ht="18.600000000000001" customHeight="1" x14ac:dyDescent="0.4">
      <c r="A10" s="220"/>
      <c r="B10" s="224"/>
      <c r="C10" s="224"/>
      <c r="D10" s="197"/>
      <c r="E10" s="188"/>
      <c r="F10" s="188"/>
      <c r="G10" s="233" t="s">
        <v>5</v>
      </c>
      <c r="H10" s="233" t="s">
        <v>6</v>
      </c>
      <c r="I10" s="200"/>
      <c r="J10" s="200"/>
    </row>
    <row r="11" spans="1:10" ht="18.600000000000001" customHeight="1" thickBot="1" x14ac:dyDescent="0.45">
      <c r="A11" s="221"/>
      <c r="B11" s="225"/>
      <c r="C11" s="225"/>
      <c r="D11" s="198"/>
      <c r="E11" s="189"/>
      <c r="F11" s="189"/>
      <c r="G11" s="234"/>
      <c r="H11" s="234"/>
      <c r="I11" s="201"/>
      <c r="J11" s="201"/>
    </row>
    <row r="12" spans="1:10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/>
      <c r="F12" s="54"/>
      <c r="G12" s="5"/>
      <c r="H12" s="5"/>
      <c r="I12" s="206"/>
      <c r="J12" s="207"/>
    </row>
    <row r="13" spans="1:10" ht="23.2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/>
      <c r="F13" s="58"/>
      <c r="G13" s="9"/>
      <c r="H13" s="9"/>
      <c r="I13" s="10"/>
      <c r="J13" s="11"/>
    </row>
    <row r="14" spans="1:10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32</v>
      </c>
      <c r="F14" s="13"/>
      <c r="G14" s="107" t="s">
        <v>90</v>
      </c>
      <c r="H14" s="104"/>
      <c r="I14" s="68"/>
      <c r="J14" s="15"/>
    </row>
    <row r="15" spans="1:10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33</v>
      </c>
      <c r="F15" s="16"/>
      <c r="G15" s="16"/>
      <c r="H15" s="16"/>
      <c r="I15" s="17"/>
      <c r="J15" s="18"/>
    </row>
    <row r="16" spans="1:10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33</v>
      </c>
      <c r="F16" s="20"/>
      <c r="G16" s="20"/>
      <c r="H16" s="20"/>
      <c r="I16" s="21"/>
      <c r="J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31</v>
      </c>
      <c r="F17" s="23"/>
      <c r="G17" s="107" t="s">
        <v>91</v>
      </c>
      <c r="H17" s="107"/>
      <c r="I17" s="68"/>
      <c r="J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32</v>
      </c>
      <c r="F18" s="16"/>
      <c r="G18" s="16"/>
      <c r="H18" s="16"/>
      <c r="I18" s="17"/>
      <c r="J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84">
        <v>32</v>
      </c>
      <c r="F19" s="25"/>
      <c r="G19" s="25"/>
      <c r="H19" s="25"/>
      <c r="I19" s="26"/>
      <c r="J19" s="27"/>
    </row>
    <row r="31" spans="1:11" ht="18" customHeight="1" x14ac:dyDescent="0.4">
      <c r="K31" s="1" t="s">
        <v>36</v>
      </c>
    </row>
    <row r="38" spans="1:7" s="28" customFormat="1" ht="18" customHeight="1" x14ac:dyDescent="0.4">
      <c r="A38" s="37"/>
      <c r="B38" s="37"/>
      <c r="C38" s="37"/>
      <c r="D38" s="37"/>
    </row>
    <row r="41" spans="1:7" ht="18" customHeight="1" x14ac:dyDescent="0.4">
      <c r="G41" s="28" t="s">
        <v>46</v>
      </c>
    </row>
  </sheetData>
  <mergeCells count="18">
    <mergeCell ref="A17:A19"/>
    <mergeCell ref="B17:B19"/>
    <mergeCell ref="G8:H9"/>
    <mergeCell ref="I8:J11"/>
    <mergeCell ref="G10:G11"/>
    <mergeCell ref="H10:H11"/>
    <mergeCell ref="A12:A16"/>
    <mergeCell ref="B12:B13"/>
    <mergeCell ref="B14:B16"/>
    <mergeCell ref="F8:F11"/>
    <mergeCell ref="I12:J12"/>
    <mergeCell ref="A2:C2"/>
    <mergeCell ref="A3:E3"/>
    <mergeCell ref="A4:D5"/>
    <mergeCell ref="A8:A11"/>
    <mergeCell ref="B8:C11"/>
    <mergeCell ref="E8:E11"/>
    <mergeCell ref="D8:D11"/>
  </mergeCells>
  <phoneticPr fontId="4"/>
  <printOptions horizontalCentered="1" verticalCentered="1"/>
  <pageMargins left="0.25" right="0.25" top="0.75" bottom="0.75" header="0.3" footer="0.3"/>
  <pageSetup paperSize="9" scale="7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zoomScale="61" zoomScaleNormal="61" zoomScaleSheetLayoutView="61" workbookViewId="0">
      <selection activeCell="N38" sqref="N38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9.875" style="37" customWidth="1"/>
    <col min="5" max="8" width="10.75" style="28" customWidth="1"/>
    <col min="9" max="9" width="14.75" style="1" customWidth="1"/>
    <col min="10" max="10" width="19.875" style="1" customWidth="1"/>
    <col min="11" max="16384" width="9" style="1"/>
  </cols>
  <sheetData>
    <row r="1" spans="1:10" ht="30" customHeight="1" x14ac:dyDescent="0.4">
      <c r="A1" s="32"/>
      <c r="B1" s="42"/>
      <c r="C1" s="42"/>
      <c r="D1" s="42"/>
      <c r="H1" s="47" t="s">
        <v>24</v>
      </c>
    </row>
    <row r="2" spans="1:10" ht="35.85" customHeight="1" x14ac:dyDescent="0.4">
      <c r="A2" s="209" t="s">
        <v>14</v>
      </c>
      <c r="B2" s="210"/>
      <c r="C2" s="210"/>
      <c r="D2" s="79"/>
      <c r="E2" s="2"/>
      <c r="F2" s="2"/>
      <c r="G2" s="51"/>
      <c r="H2" s="48" t="s">
        <v>25</v>
      </c>
      <c r="I2" s="51"/>
      <c r="J2" s="51"/>
    </row>
    <row r="3" spans="1:10" ht="35.85" customHeight="1" thickBot="1" x14ac:dyDescent="0.45">
      <c r="A3" s="211" t="s">
        <v>15</v>
      </c>
      <c r="B3" s="211"/>
      <c r="C3" s="211"/>
      <c r="D3" s="211"/>
      <c r="E3" s="211"/>
      <c r="F3" s="80"/>
      <c r="G3" s="52"/>
      <c r="H3" s="48" t="s">
        <v>26</v>
      </c>
      <c r="I3" s="52"/>
      <c r="J3" s="52"/>
    </row>
    <row r="4" spans="1:10" ht="35.85" customHeight="1" x14ac:dyDescent="0.4">
      <c r="A4" s="235" t="s">
        <v>49</v>
      </c>
      <c r="B4" s="236"/>
      <c r="C4" s="236"/>
      <c r="D4" s="237"/>
      <c r="E4" s="77"/>
      <c r="F4" s="56"/>
      <c r="G4" s="44"/>
      <c r="H4" s="48" t="s">
        <v>27</v>
      </c>
      <c r="I4" s="44"/>
      <c r="J4" s="44"/>
    </row>
    <row r="5" spans="1:10" ht="35.85" customHeight="1" thickBot="1" x14ac:dyDescent="0.45">
      <c r="A5" s="238"/>
      <c r="B5" s="239"/>
      <c r="C5" s="239"/>
      <c r="D5" s="240"/>
      <c r="E5" s="77"/>
      <c r="F5" s="56"/>
      <c r="G5" s="44"/>
      <c r="H5" s="49" t="s">
        <v>28</v>
      </c>
      <c r="I5" s="44"/>
      <c r="J5" s="44"/>
    </row>
    <row r="6" spans="1:10" ht="35.85" customHeight="1" x14ac:dyDescent="0.35">
      <c r="A6" s="33"/>
      <c r="B6" s="34"/>
      <c r="C6" s="34"/>
      <c r="D6" s="34"/>
      <c r="E6" s="30"/>
      <c r="F6" s="30"/>
      <c r="G6" s="44"/>
      <c r="H6" s="50" t="s">
        <v>29</v>
      </c>
      <c r="I6" s="44"/>
      <c r="J6" s="44"/>
    </row>
    <row r="7" spans="1:10" ht="15.75" customHeight="1" thickBot="1" x14ac:dyDescent="0.4">
      <c r="A7" s="35"/>
      <c r="B7" s="36"/>
      <c r="C7" s="36"/>
      <c r="D7" s="36"/>
      <c r="E7" s="3"/>
      <c r="F7" s="3"/>
      <c r="G7" s="29"/>
      <c r="H7" s="29"/>
      <c r="I7" s="29"/>
      <c r="J7" s="29"/>
    </row>
    <row r="8" spans="1:10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32</v>
      </c>
      <c r="G8" s="229" t="s">
        <v>3</v>
      </c>
      <c r="H8" s="230"/>
      <c r="I8" s="199" t="s">
        <v>4</v>
      </c>
      <c r="J8" s="199"/>
    </row>
    <row r="9" spans="1:10" ht="28.5" customHeight="1" thickBot="1" x14ac:dyDescent="0.45">
      <c r="A9" s="219"/>
      <c r="B9" s="223"/>
      <c r="C9" s="223"/>
      <c r="D9" s="197"/>
      <c r="E9" s="188"/>
      <c r="F9" s="188"/>
      <c r="G9" s="231"/>
      <c r="H9" s="232"/>
      <c r="I9" s="200"/>
      <c r="J9" s="200"/>
    </row>
    <row r="10" spans="1:10" ht="18.600000000000001" customHeight="1" x14ac:dyDescent="0.4">
      <c r="A10" s="220"/>
      <c r="B10" s="224"/>
      <c r="C10" s="224"/>
      <c r="D10" s="197"/>
      <c r="E10" s="188"/>
      <c r="F10" s="188"/>
      <c r="G10" s="233" t="s">
        <v>5</v>
      </c>
      <c r="H10" s="233" t="s">
        <v>6</v>
      </c>
      <c r="I10" s="200"/>
      <c r="J10" s="200"/>
    </row>
    <row r="11" spans="1:10" ht="18.600000000000001" customHeight="1" thickBot="1" x14ac:dyDescent="0.45">
      <c r="A11" s="221"/>
      <c r="B11" s="225"/>
      <c r="C11" s="225"/>
      <c r="D11" s="198"/>
      <c r="E11" s="189"/>
      <c r="F11" s="189"/>
      <c r="G11" s="234"/>
      <c r="H11" s="234"/>
      <c r="I11" s="201"/>
      <c r="J11" s="201"/>
    </row>
    <row r="12" spans="1:10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/>
      <c r="F12" s="81"/>
      <c r="G12" s="5"/>
      <c r="H12" s="5"/>
      <c r="I12" s="206"/>
      <c r="J12" s="207"/>
    </row>
    <row r="13" spans="1:10" ht="23.2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3"/>
      <c r="F13" s="58"/>
      <c r="G13" s="9"/>
      <c r="H13" s="9"/>
      <c r="I13" s="10"/>
      <c r="J13" s="11"/>
    </row>
    <row r="14" spans="1:10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43</v>
      </c>
      <c r="F14" s="57"/>
      <c r="G14" s="13"/>
      <c r="H14" s="14"/>
      <c r="I14" s="68"/>
      <c r="J14" s="15"/>
    </row>
    <row r="15" spans="1:10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43</v>
      </c>
      <c r="F15" s="8"/>
      <c r="G15" s="16"/>
      <c r="H15" s="16"/>
      <c r="I15" s="17"/>
      <c r="J15" s="18"/>
    </row>
    <row r="16" spans="1:10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43</v>
      </c>
      <c r="F16" s="19"/>
      <c r="G16" s="20"/>
      <c r="H16" s="20"/>
      <c r="I16" s="21"/>
      <c r="J16" s="22"/>
    </row>
    <row r="17" spans="1:11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42</v>
      </c>
      <c r="F17" s="12"/>
      <c r="G17" s="23"/>
      <c r="H17" s="24"/>
      <c r="I17" s="68"/>
      <c r="J17" s="15"/>
    </row>
    <row r="18" spans="1:11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42</v>
      </c>
      <c r="F18" s="8"/>
      <c r="G18" s="16"/>
      <c r="H18" s="16"/>
      <c r="I18" s="17"/>
      <c r="J18" s="18"/>
    </row>
    <row r="19" spans="1:11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82">
        <v>42</v>
      </c>
      <c r="F19" s="82"/>
      <c r="G19" s="25"/>
      <c r="H19" s="25"/>
      <c r="I19" s="26"/>
      <c r="J19" s="27"/>
    </row>
    <row r="31" spans="1:11" ht="18" customHeight="1" x14ac:dyDescent="0.4">
      <c r="K31" s="1" t="s">
        <v>35</v>
      </c>
    </row>
    <row r="38" spans="1:7" s="28" customFormat="1" ht="18" customHeight="1" x14ac:dyDescent="0.4">
      <c r="A38" s="37"/>
      <c r="B38" s="37"/>
      <c r="C38" s="37"/>
      <c r="D38" s="37"/>
    </row>
    <row r="41" spans="1:7" ht="18" customHeight="1" x14ac:dyDescent="0.4">
      <c r="G41" s="28" t="s">
        <v>46</v>
      </c>
    </row>
  </sheetData>
  <mergeCells count="18">
    <mergeCell ref="A17:A19"/>
    <mergeCell ref="B17:B19"/>
    <mergeCell ref="F8:F11"/>
    <mergeCell ref="G8:H9"/>
    <mergeCell ref="I8:J11"/>
    <mergeCell ref="G10:G11"/>
    <mergeCell ref="H10:H11"/>
    <mergeCell ref="A12:A16"/>
    <mergeCell ref="B12:B13"/>
    <mergeCell ref="I12:J12"/>
    <mergeCell ref="B14:B16"/>
    <mergeCell ref="A2:C2"/>
    <mergeCell ref="A3:E3"/>
    <mergeCell ref="A4:D5"/>
    <mergeCell ref="A8:A11"/>
    <mergeCell ref="B8:C11"/>
    <mergeCell ref="D8:D11"/>
    <mergeCell ref="E8:E11"/>
  </mergeCells>
  <phoneticPr fontId="4"/>
  <printOptions horizontalCentered="1" verticalCentered="1"/>
  <pageMargins left="0.25" right="0.25" top="0.75" bottom="0.75" header="0.3" footer="0.3"/>
  <pageSetup paperSize="9" scale="7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zoomScale="61" zoomScaleNormal="61" zoomScaleSheetLayoutView="61" workbookViewId="0">
      <selection activeCell="O32" sqref="O32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8.5" style="37" customWidth="1"/>
    <col min="5" max="9" width="10.5" style="28" customWidth="1"/>
    <col min="10" max="11" width="10.5" style="1" customWidth="1"/>
    <col min="12" max="12" width="15" style="1" customWidth="1"/>
    <col min="13" max="13" width="21.5" style="1" customWidth="1"/>
    <col min="14" max="16384" width="9" style="1"/>
  </cols>
  <sheetData>
    <row r="1" spans="1:13" ht="30" customHeight="1" x14ac:dyDescent="0.4">
      <c r="A1" s="32"/>
      <c r="B1" s="42"/>
      <c r="C1" s="42"/>
      <c r="D1" s="42"/>
      <c r="H1" s="47" t="s">
        <v>24</v>
      </c>
    </row>
    <row r="2" spans="1:13" ht="35.85" customHeight="1" x14ac:dyDescent="0.4">
      <c r="A2" s="209" t="s">
        <v>14</v>
      </c>
      <c r="B2" s="210"/>
      <c r="C2" s="210"/>
      <c r="D2" s="94"/>
      <c r="E2" s="2"/>
      <c r="F2" s="2"/>
      <c r="G2" s="2"/>
      <c r="H2" s="48" t="s">
        <v>25</v>
      </c>
      <c r="I2" s="2"/>
      <c r="J2" s="51"/>
      <c r="K2" s="51"/>
      <c r="L2" s="51"/>
    </row>
    <row r="3" spans="1:13" ht="35.85" customHeight="1" thickBot="1" x14ac:dyDescent="0.45">
      <c r="A3" s="211" t="s">
        <v>15</v>
      </c>
      <c r="B3" s="211"/>
      <c r="C3" s="211"/>
      <c r="D3" s="211"/>
      <c r="E3" s="211"/>
      <c r="F3" s="95"/>
      <c r="G3" s="95"/>
      <c r="H3" s="48" t="s">
        <v>26</v>
      </c>
      <c r="I3" s="95"/>
      <c r="J3" s="52"/>
      <c r="K3" s="52"/>
      <c r="L3" s="52"/>
    </row>
    <row r="4" spans="1:13" ht="35.85" customHeight="1" x14ac:dyDescent="0.4">
      <c r="A4" s="212" t="s">
        <v>54</v>
      </c>
      <c r="B4" s="213"/>
      <c r="C4" s="213"/>
      <c r="D4" s="214"/>
      <c r="E4" s="76"/>
      <c r="F4" s="45"/>
      <c r="G4" s="45"/>
      <c r="H4" s="48" t="s">
        <v>27</v>
      </c>
      <c r="I4" s="45"/>
      <c r="J4" s="44"/>
      <c r="K4" s="44"/>
      <c r="L4" s="44"/>
    </row>
    <row r="5" spans="1:13" ht="52.5" customHeight="1" thickBot="1" x14ac:dyDescent="0.45">
      <c r="A5" s="215"/>
      <c r="B5" s="216"/>
      <c r="C5" s="216"/>
      <c r="D5" s="217"/>
      <c r="E5" s="76"/>
      <c r="F5" s="45"/>
      <c r="G5" s="45"/>
      <c r="H5" s="49" t="s">
        <v>28</v>
      </c>
      <c r="I5" s="45"/>
      <c r="J5" s="44"/>
      <c r="K5" s="44"/>
      <c r="L5" s="44"/>
    </row>
    <row r="6" spans="1:13" ht="50.25" customHeight="1" x14ac:dyDescent="0.35">
      <c r="A6" s="33"/>
      <c r="B6" s="34"/>
      <c r="C6" s="34"/>
      <c r="D6" s="34"/>
      <c r="E6" s="30"/>
      <c r="F6" s="30"/>
      <c r="G6" s="30"/>
      <c r="H6" s="50" t="s">
        <v>29</v>
      </c>
      <c r="I6" s="30"/>
      <c r="J6" s="44"/>
      <c r="K6" s="44"/>
      <c r="L6" s="44"/>
    </row>
    <row r="7" spans="1:13" ht="15.75" customHeight="1" thickBot="1" x14ac:dyDescent="0.4">
      <c r="A7" s="35"/>
      <c r="B7" s="36"/>
      <c r="C7" s="36"/>
      <c r="D7" s="36"/>
      <c r="E7" s="3"/>
      <c r="F7" s="3"/>
      <c r="G7" s="3"/>
      <c r="H7" s="3"/>
      <c r="I7" s="3"/>
      <c r="J7" s="29"/>
      <c r="K7" s="29"/>
      <c r="L7" s="29"/>
    </row>
    <row r="8" spans="1:13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229" t="s">
        <v>66</v>
      </c>
      <c r="F8" s="230"/>
      <c r="G8" s="229" t="s">
        <v>50</v>
      </c>
      <c r="H8" s="230"/>
      <c r="I8" s="229" t="s">
        <v>53</v>
      </c>
      <c r="J8" s="230"/>
      <c r="K8" s="257" t="s">
        <v>55</v>
      </c>
      <c r="L8" s="199" t="s">
        <v>4</v>
      </c>
      <c r="M8" s="199"/>
    </row>
    <row r="9" spans="1:13" ht="28.5" customHeight="1" x14ac:dyDescent="0.4">
      <c r="A9" s="219"/>
      <c r="B9" s="223"/>
      <c r="C9" s="223"/>
      <c r="D9" s="197"/>
      <c r="E9" s="253"/>
      <c r="F9" s="254"/>
      <c r="G9" s="253"/>
      <c r="H9" s="254"/>
      <c r="I9" s="253"/>
      <c r="J9" s="254"/>
      <c r="K9" s="251"/>
      <c r="L9" s="200"/>
      <c r="M9" s="200"/>
    </row>
    <row r="10" spans="1:13" ht="18.600000000000001" customHeight="1" x14ac:dyDescent="0.4">
      <c r="A10" s="220"/>
      <c r="B10" s="224"/>
      <c r="C10" s="224"/>
      <c r="D10" s="197"/>
      <c r="E10" s="255"/>
      <c r="F10" s="256"/>
      <c r="G10" s="255"/>
      <c r="H10" s="256"/>
      <c r="I10" s="255"/>
      <c r="J10" s="256"/>
      <c r="K10" s="251"/>
      <c r="L10" s="200"/>
      <c r="M10" s="200"/>
    </row>
    <row r="11" spans="1:13" ht="25.5" customHeight="1" thickBot="1" x14ac:dyDescent="0.45">
      <c r="A11" s="221"/>
      <c r="B11" s="225"/>
      <c r="C11" s="225"/>
      <c r="D11" s="198"/>
      <c r="E11" s="96" t="s">
        <v>51</v>
      </c>
      <c r="F11" s="96" t="s">
        <v>52</v>
      </c>
      <c r="G11" s="96" t="s">
        <v>51</v>
      </c>
      <c r="H11" s="96" t="s">
        <v>52</v>
      </c>
      <c r="I11" s="96" t="s">
        <v>51</v>
      </c>
      <c r="J11" s="96" t="s">
        <v>52</v>
      </c>
      <c r="K11" s="258"/>
      <c r="L11" s="201"/>
      <c r="M11" s="201"/>
    </row>
    <row r="12" spans="1:13" ht="23.45" customHeight="1" x14ac:dyDescent="0.4">
      <c r="A12" s="202">
        <f>山城!A12:D19</f>
        <v>46152</v>
      </c>
      <c r="B12" s="204" t="s">
        <v>7</v>
      </c>
      <c r="C12" s="116" t="s">
        <v>8</v>
      </c>
      <c r="D12" s="124" t="str">
        <f>山城!D12</f>
        <v>ごぼうと竹輪の煮物</v>
      </c>
      <c r="E12" s="4">
        <v>8</v>
      </c>
      <c r="F12" s="4">
        <v>5</v>
      </c>
      <c r="G12" s="4"/>
      <c r="H12" s="4"/>
      <c r="I12" s="4">
        <v>2</v>
      </c>
      <c r="J12" s="59">
        <v>3</v>
      </c>
      <c r="K12" s="4"/>
      <c r="L12" s="100"/>
      <c r="M12" s="7"/>
    </row>
    <row r="13" spans="1:13" ht="23.45" customHeight="1" x14ac:dyDescent="0.4">
      <c r="A13" s="203"/>
      <c r="B13" s="205"/>
      <c r="C13" s="117" t="s">
        <v>9</v>
      </c>
      <c r="D13" s="105" t="str">
        <f>山城!D13</f>
        <v>いんげんの味噌和え</v>
      </c>
      <c r="E13" s="8">
        <v>8</v>
      </c>
      <c r="F13" s="8">
        <v>5</v>
      </c>
      <c r="G13" s="8"/>
      <c r="H13" s="8"/>
      <c r="I13" s="8">
        <v>2</v>
      </c>
      <c r="J13" s="8">
        <v>3</v>
      </c>
      <c r="K13" s="19"/>
      <c r="L13" s="101"/>
      <c r="M13" s="11"/>
    </row>
    <row r="14" spans="1:13" ht="23.45" customHeight="1" x14ac:dyDescent="0.4">
      <c r="A14" s="203"/>
      <c r="B14" s="184" t="s">
        <v>10</v>
      </c>
      <c r="C14" s="113" t="s">
        <v>11</v>
      </c>
      <c r="D14" s="106" t="str">
        <f>山城!D14</f>
        <v>豚肉と白菜のすき煮</v>
      </c>
      <c r="E14" s="12">
        <v>9</v>
      </c>
      <c r="F14" s="12">
        <v>7</v>
      </c>
      <c r="G14" s="12"/>
      <c r="H14" s="12"/>
      <c r="I14" s="12">
        <v>2</v>
      </c>
      <c r="J14" s="12">
        <v>3</v>
      </c>
      <c r="K14" s="98"/>
      <c r="L14" s="68"/>
      <c r="M14" s="15"/>
    </row>
    <row r="15" spans="1:13" ht="23.45" customHeight="1" x14ac:dyDescent="0.4">
      <c r="A15" s="203"/>
      <c r="B15" s="185"/>
      <c r="C15" s="114" t="s">
        <v>8</v>
      </c>
      <c r="D15" s="111" t="str">
        <f>山城!D15</f>
        <v>さつま芋の天ぷら</v>
      </c>
      <c r="E15" s="8">
        <v>9</v>
      </c>
      <c r="F15" s="8">
        <v>7</v>
      </c>
      <c r="G15" s="8"/>
      <c r="H15" s="8"/>
      <c r="I15" s="8">
        <v>2</v>
      </c>
      <c r="J15" s="8">
        <v>3</v>
      </c>
      <c r="K15" s="8"/>
      <c r="L15" s="17"/>
      <c r="M15" s="18"/>
    </row>
    <row r="16" spans="1:13" ht="23.45" customHeight="1" x14ac:dyDescent="0.4">
      <c r="A16" s="203"/>
      <c r="B16" s="208"/>
      <c r="C16" s="118" t="s">
        <v>9</v>
      </c>
      <c r="D16" s="85" t="str">
        <f>山城!D16</f>
        <v>ﾌﾞﾛｯｺﾘｰのちりめん和え</v>
      </c>
      <c r="E16" s="19">
        <v>9</v>
      </c>
      <c r="F16" s="19">
        <v>7</v>
      </c>
      <c r="G16" s="19"/>
      <c r="H16" s="19"/>
      <c r="I16" s="57">
        <v>2</v>
      </c>
      <c r="J16" s="19">
        <v>3</v>
      </c>
      <c r="K16" s="19"/>
      <c r="L16" s="21"/>
      <c r="M16" s="22"/>
    </row>
    <row r="17" spans="1:13" ht="23.45" customHeight="1" x14ac:dyDescent="0.4">
      <c r="A17" s="182" t="str">
        <f>TEXT(A12,"(aaa)")</f>
        <v>(日)</v>
      </c>
      <c r="B17" s="184" t="s">
        <v>12</v>
      </c>
      <c r="C17" s="113" t="s">
        <v>13</v>
      </c>
      <c r="D17" s="106" t="str">
        <f>山城!D17</f>
        <v>煮込みハンバーグ</v>
      </c>
      <c r="E17" s="12">
        <v>8</v>
      </c>
      <c r="F17" s="12">
        <v>6</v>
      </c>
      <c r="G17" s="12"/>
      <c r="H17" s="12"/>
      <c r="I17" s="12">
        <v>2</v>
      </c>
      <c r="J17" s="12">
        <v>3</v>
      </c>
      <c r="K17" s="98"/>
      <c r="L17" s="68"/>
      <c r="M17" s="15"/>
    </row>
    <row r="18" spans="1:13" ht="23.45" customHeight="1" x14ac:dyDescent="0.4">
      <c r="A18" s="182"/>
      <c r="B18" s="185"/>
      <c r="C18" s="114" t="s">
        <v>8</v>
      </c>
      <c r="D18" s="78" t="str">
        <f>山城!D18</f>
        <v>ジャーマンポテト</v>
      </c>
      <c r="E18" s="8">
        <v>8</v>
      </c>
      <c r="F18" s="8">
        <v>6</v>
      </c>
      <c r="G18" s="8"/>
      <c r="H18" s="8"/>
      <c r="I18" s="8">
        <v>2</v>
      </c>
      <c r="J18" s="8">
        <v>3</v>
      </c>
      <c r="K18" s="8"/>
      <c r="L18" s="17"/>
      <c r="M18" s="18"/>
    </row>
    <row r="19" spans="1:13" ht="23.45" customHeight="1" thickBot="1" x14ac:dyDescent="0.45">
      <c r="A19" s="183"/>
      <c r="B19" s="186"/>
      <c r="C19" s="115" t="s">
        <v>9</v>
      </c>
      <c r="D19" s="112" t="str">
        <f>山城!D19</f>
        <v>ほうれん草の和え物</v>
      </c>
      <c r="E19" s="93">
        <v>8</v>
      </c>
      <c r="F19" s="93">
        <v>6</v>
      </c>
      <c r="G19" s="93"/>
      <c r="H19" s="93"/>
      <c r="I19" s="93">
        <v>2</v>
      </c>
      <c r="J19" s="93">
        <v>3</v>
      </c>
      <c r="K19" s="99"/>
      <c r="L19" s="102"/>
      <c r="M19" s="27"/>
    </row>
    <row r="20" spans="1:13" ht="18" customHeight="1" x14ac:dyDescent="0.4">
      <c r="J20" s="1">
        <v>2</v>
      </c>
    </row>
    <row r="31" spans="1:13" ht="18" customHeight="1" x14ac:dyDescent="0.4">
      <c r="M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16">
    <mergeCell ref="L8:M11"/>
    <mergeCell ref="A12:A16"/>
    <mergeCell ref="B12:B13"/>
    <mergeCell ref="B14:B16"/>
    <mergeCell ref="A2:C2"/>
    <mergeCell ref="A3:E3"/>
    <mergeCell ref="A4:D5"/>
    <mergeCell ref="A8:A11"/>
    <mergeCell ref="B8:C11"/>
    <mergeCell ref="D8:D11"/>
    <mergeCell ref="K8:K11"/>
    <mergeCell ref="A17:A19"/>
    <mergeCell ref="B17:B19"/>
    <mergeCell ref="E8:F10"/>
    <mergeCell ref="G8:H10"/>
    <mergeCell ref="I8:J10"/>
  </mergeCells>
  <phoneticPr fontId="4"/>
  <printOptions horizontalCentered="1" verticalCentered="1"/>
  <pageMargins left="0.25" right="0.25" top="0.75" bottom="0.75" header="0.3" footer="0.3"/>
  <pageSetup paperSize="9" scale="58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8"/>
  <sheetViews>
    <sheetView zoomScale="61" zoomScaleNormal="61" zoomScaleSheetLayoutView="61" workbookViewId="0">
      <selection activeCell="P40" sqref="P40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7.375" style="37" customWidth="1"/>
    <col min="5" max="10" width="10.625" style="28" customWidth="1"/>
    <col min="11" max="11" width="17.75" style="1" customWidth="1"/>
    <col min="12" max="12" width="22.125" style="1" customWidth="1"/>
    <col min="13" max="16384" width="9" style="1"/>
  </cols>
  <sheetData>
    <row r="1" spans="1:14" ht="30" customHeight="1" x14ac:dyDescent="0.4">
      <c r="A1" s="32"/>
      <c r="B1" s="42"/>
      <c r="C1" s="42"/>
      <c r="D1" s="42"/>
      <c r="I1" s="47" t="s">
        <v>24</v>
      </c>
      <c r="J1" s="47"/>
    </row>
    <row r="2" spans="1:14" ht="35.85" customHeight="1" x14ac:dyDescent="0.4">
      <c r="A2" s="209" t="s">
        <v>14</v>
      </c>
      <c r="B2" s="210"/>
      <c r="C2" s="210"/>
      <c r="D2" s="126"/>
      <c r="E2" s="2"/>
      <c r="F2" s="2"/>
      <c r="G2" s="2"/>
      <c r="H2" s="51"/>
      <c r="I2" s="48" t="s">
        <v>25</v>
      </c>
      <c r="J2" s="48"/>
      <c r="K2" s="51"/>
      <c r="L2" s="51"/>
    </row>
    <row r="3" spans="1:14" ht="35.85" customHeight="1" thickBot="1" x14ac:dyDescent="0.45">
      <c r="A3" s="211" t="s">
        <v>15</v>
      </c>
      <c r="B3" s="211"/>
      <c r="C3" s="211"/>
      <c r="D3" s="211"/>
      <c r="E3" s="211"/>
      <c r="F3" s="127"/>
      <c r="G3" s="127"/>
      <c r="H3" s="52"/>
      <c r="I3" s="48" t="s">
        <v>26</v>
      </c>
      <c r="J3" s="48"/>
      <c r="K3" s="52"/>
      <c r="L3" s="52"/>
    </row>
    <row r="4" spans="1:14" ht="35.85" customHeight="1" x14ac:dyDescent="0.4">
      <c r="A4" s="263" t="s">
        <v>57</v>
      </c>
      <c r="B4" s="264"/>
      <c r="C4" s="264"/>
      <c r="D4" s="265"/>
      <c r="E4" s="76"/>
      <c r="F4" s="45"/>
      <c r="G4" s="45"/>
      <c r="H4" s="44"/>
      <c r="I4" s="48" t="s">
        <v>27</v>
      </c>
      <c r="J4" s="48"/>
      <c r="K4" s="44"/>
      <c r="L4" s="44"/>
    </row>
    <row r="5" spans="1:14" ht="35.85" customHeight="1" thickBot="1" x14ac:dyDescent="0.45">
      <c r="A5" s="266"/>
      <c r="B5" s="267"/>
      <c r="C5" s="267"/>
      <c r="D5" s="268"/>
      <c r="E5" s="76"/>
      <c r="F5" s="45"/>
      <c r="G5" s="45"/>
      <c r="H5" s="44"/>
      <c r="I5" s="49" t="s">
        <v>28</v>
      </c>
      <c r="J5" s="49"/>
      <c r="K5" s="44"/>
      <c r="L5" s="44"/>
    </row>
    <row r="6" spans="1:14" ht="35.85" customHeight="1" x14ac:dyDescent="0.35">
      <c r="A6" s="33"/>
      <c r="B6" s="34"/>
      <c r="C6" s="34"/>
      <c r="D6" s="34"/>
      <c r="E6" s="30"/>
      <c r="F6" s="30"/>
      <c r="G6" s="30"/>
      <c r="H6" s="44"/>
      <c r="I6" s="50" t="s">
        <v>29</v>
      </c>
      <c r="J6" s="50"/>
      <c r="K6" s="44"/>
      <c r="L6" s="44"/>
    </row>
    <row r="7" spans="1:14" ht="15.75" customHeight="1" thickBot="1" x14ac:dyDescent="0.4">
      <c r="A7" s="35"/>
      <c r="B7" s="36"/>
      <c r="C7" s="36"/>
      <c r="D7" s="36"/>
      <c r="E7" s="3"/>
      <c r="F7" s="3"/>
      <c r="G7" s="3"/>
      <c r="H7" s="29"/>
      <c r="I7" s="29"/>
      <c r="J7" s="29"/>
      <c r="K7" s="29"/>
      <c r="L7" s="29"/>
    </row>
    <row r="8" spans="1:14" ht="2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58</v>
      </c>
      <c r="G8" s="247" t="s">
        <v>59</v>
      </c>
      <c r="H8" s="229" t="s">
        <v>60</v>
      </c>
      <c r="I8" s="271"/>
      <c r="J8" s="272"/>
      <c r="K8" s="280" t="s">
        <v>61</v>
      </c>
      <c r="L8" s="280" t="s">
        <v>62</v>
      </c>
      <c r="M8" s="199" t="s">
        <v>4</v>
      </c>
      <c r="N8" s="199"/>
    </row>
    <row r="9" spans="1:14" ht="13.15" customHeight="1" thickBot="1" x14ac:dyDescent="0.45">
      <c r="A9" s="219"/>
      <c r="B9" s="223"/>
      <c r="C9" s="223"/>
      <c r="D9" s="197"/>
      <c r="E9" s="188"/>
      <c r="F9" s="248"/>
      <c r="G9" s="188"/>
      <c r="H9" s="253"/>
      <c r="I9" s="273"/>
      <c r="J9" s="274"/>
      <c r="K9" s="281"/>
      <c r="L9" s="281"/>
      <c r="M9" s="200"/>
      <c r="N9" s="200"/>
    </row>
    <row r="10" spans="1:14" ht="12.75" customHeight="1" x14ac:dyDescent="0.4">
      <c r="A10" s="220"/>
      <c r="B10" s="224"/>
      <c r="C10" s="224"/>
      <c r="D10" s="197"/>
      <c r="E10" s="188"/>
      <c r="F10" s="248"/>
      <c r="G10" s="188"/>
      <c r="H10" s="275" t="s">
        <v>5</v>
      </c>
      <c r="I10" s="275" t="s">
        <v>6</v>
      </c>
      <c r="J10" s="275" t="s">
        <v>72</v>
      </c>
      <c r="K10" s="281"/>
      <c r="L10" s="281"/>
      <c r="M10" s="200"/>
      <c r="N10" s="200"/>
    </row>
    <row r="11" spans="1:14" ht="13.15" customHeight="1" thickBot="1" x14ac:dyDescent="0.45">
      <c r="A11" s="221"/>
      <c r="B11" s="225"/>
      <c r="C11" s="225"/>
      <c r="D11" s="198"/>
      <c r="E11" s="189"/>
      <c r="F11" s="249"/>
      <c r="G11" s="189"/>
      <c r="H11" s="234"/>
      <c r="I11" s="234"/>
      <c r="J11" s="234"/>
      <c r="K11" s="282"/>
      <c r="L11" s="282"/>
      <c r="M11" s="201"/>
      <c r="N11" s="201"/>
    </row>
    <row r="12" spans="1:14" ht="30" x14ac:dyDescent="0.4">
      <c r="A12" s="202">
        <f>山城!A12</f>
        <v>46152</v>
      </c>
      <c r="B12" s="204" t="s">
        <v>7</v>
      </c>
      <c r="C12" s="134" t="s">
        <v>8</v>
      </c>
      <c r="D12" s="124" t="str">
        <f>山城!D12</f>
        <v>ごぼうと竹輪の煮物</v>
      </c>
      <c r="E12" s="132">
        <v>70</v>
      </c>
      <c r="F12" s="132"/>
      <c r="G12" s="132"/>
      <c r="H12" s="119"/>
      <c r="I12" s="119"/>
      <c r="J12" s="119"/>
      <c r="K12" s="5"/>
      <c r="L12" s="5"/>
      <c r="M12" s="206"/>
      <c r="N12" s="207"/>
    </row>
    <row r="13" spans="1:14" ht="30" x14ac:dyDescent="0.4">
      <c r="A13" s="203"/>
      <c r="B13" s="205"/>
      <c r="C13" s="135" t="s">
        <v>9</v>
      </c>
      <c r="D13" s="105" t="str">
        <f>山城!D13</f>
        <v>いんげんの味噌和え</v>
      </c>
      <c r="E13" s="58">
        <v>70</v>
      </c>
      <c r="F13" s="58"/>
      <c r="G13" s="58"/>
      <c r="H13" s="120"/>
      <c r="I13" s="120"/>
      <c r="J13" s="120"/>
      <c r="K13" s="9"/>
      <c r="L13" s="9"/>
      <c r="M13" s="269"/>
      <c r="N13" s="270"/>
    </row>
    <row r="14" spans="1:14" ht="30" x14ac:dyDescent="0.4">
      <c r="A14" s="203"/>
      <c r="B14" s="184" t="s">
        <v>10</v>
      </c>
      <c r="C14" s="129" t="s">
        <v>11</v>
      </c>
      <c r="D14" s="106" t="str">
        <f>山城!D14</f>
        <v>豚肉と白菜のすき煮</v>
      </c>
      <c r="E14" s="57">
        <v>65</v>
      </c>
      <c r="G14" s="57"/>
      <c r="H14" s="107"/>
      <c r="I14" s="104"/>
      <c r="J14" s="104"/>
      <c r="K14" s="14"/>
      <c r="L14" s="14"/>
      <c r="M14" s="261"/>
      <c r="N14" s="262"/>
    </row>
    <row r="15" spans="1:14" ht="30" x14ac:dyDescent="0.4">
      <c r="A15" s="203"/>
      <c r="B15" s="185"/>
      <c r="C15" s="130" t="s">
        <v>8</v>
      </c>
      <c r="D15" s="111" t="str">
        <f>山城!D15</f>
        <v>さつま芋の天ぷら</v>
      </c>
      <c r="E15" s="8">
        <v>57</v>
      </c>
      <c r="F15" s="103"/>
      <c r="G15" s="8"/>
      <c r="H15" s="103"/>
      <c r="I15" s="103"/>
      <c r="J15" s="103" t="s">
        <v>87</v>
      </c>
      <c r="K15" s="16"/>
      <c r="L15" s="16"/>
      <c r="M15" s="259"/>
      <c r="N15" s="260"/>
    </row>
    <row r="16" spans="1:14" ht="30" x14ac:dyDescent="0.4">
      <c r="A16" s="203"/>
      <c r="B16" s="208"/>
      <c r="C16" s="136" t="s">
        <v>9</v>
      </c>
      <c r="D16" s="85" t="str">
        <f>山城!D16</f>
        <v>ﾌﾞﾛｯｺﾘｰのちりめん和え</v>
      </c>
      <c r="E16" s="58">
        <v>62</v>
      </c>
      <c r="G16" s="19"/>
      <c r="H16" s="121"/>
      <c r="I16" s="121">
        <v>3</v>
      </c>
      <c r="J16" s="121"/>
      <c r="K16" s="20"/>
      <c r="L16" s="20"/>
      <c r="M16" s="261" t="s">
        <v>88</v>
      </c>
      <c r="N16" s="262"/>
    </row>
    <row r="17" spans="1:14" ht="30" x14ac:dyDescent="0.4">
      <c r="A17" s="182" t="str">
        <f>TEXT(A12,"(aaa)")</f>
        <v>(日)</v>
      </c>
      <c r="B17" s="184" t="s">
        <v>12</v>
      </c>
      <c r="C17" s="129" t="s">
        <v>13</v>
      </c>
      <c r="D17" s="106" t="str">
        <f>山城!D17</f>
        <v>煮込みハンバーグ</v>
      </c>
      <c r="E17" s="159">
        <v>64</v>
      </c>
      <c r="F17" s="12"/>
      <c r="G17" s="12">
        <v>5</v>
      </c>
      <c r="H17" s="122">
        <v>1</v>
      </c>
      <c r="I17" s="110"/>
      <c r="J17" s="110"/>
      <c r="K17" s="110"/>
      <c r="L17" s="110"/>
      <c r="M17" s="276" t="s">
        <v>92</v>
      </c>
      <c r="N17" s="277"/>
    </row>
    <row r="18" spans="1:14" ht="30" x14ac:dyDescent="0.4">
      <c r="A18" s="182"/>
      <c r="B18" s="185"/>
      <c r="C18" s="130" t="s">
        <v>8</v>
      </c>
      <c r="D18" s="78" t="str">
        <f>山城!D18</f>
        <v>ジャーマンポテト</v>
      </c>
      <c r="E18" s="8">
        <v>65</v>
      </c>
      <c r="F18" s="8"/>
      <c r="G18" s="8">
        <v>5</v>
      </c>
      <c r="H18" s="103"/>
      <c r="I18" s="103"/>
      <c r="J18" s="103"/>
      <c r="K18" s="16"/>
      <c r="L18" s="16"/>
      <c r="M18" s="151"/>
      <c r="N18" s="18"/>
    </row>
    <row r="19" spans="1:14" ht="30.75" thickBot="1" x14ac:dyDescent="0.45">
      <c r="A19" s="183"/>
      <c r="B19" s="186"/>
      <c r="C19" s="131" t="s">
        <v>9</v>
      </c>
      <c r="D19" s="112" t="str">
        <f>山城!D19</f>
        <v>ほうれん草の和え物</v>
      </c>
      <c r="E19" s="133">
        <v>65</v>
      </c>
      <c r="F19" s="133"/>
      <c r="G19" s="133">
        <v>5</v>
      </c>
      <c r="H19" s="123"/>
      <c r="I19" s="123"/>
      <c r="J19" s="123"/>
      <c r="K19" s="25"/>
      <c r="L19" s="25"/>
      <c r="M19" s="278"/>
      <c r="N19" s="279"/>
    </row>
    <row r="31" spans="1:14" ht="18" customHeight="1" x14ac:dyDescent="0.4">
      <c r="N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28">
    <mergeCell ref="M17:N17"/>
    <mergeCell ref="M19:N19"/>
    <mergeCell ref="A17:A19"/>
    <mergeCell ref="B17:B19"/>
    <mergeCell ref="M8:N11"/>
    <mergeCell ref="M12:N12"/>
    <mergeCell ref="G8:G11"/>
    <mergeCell ref="F8:F11"/>
    <mergeCell ref="H10:H11"/>
    <mergeCell ref="I10:I11"/>
    <mergeCell ref="K8:K11"/>
    <mergeCell ref="M16:N16"/>
    <mergeCell ref="L8:L11"/>
    <mergeCell ref="A12:A16"/>
    <mergeCell ref="B12:B13"/>
    <mergeCell ref="B14:B16"/>
    <mergeCell ref="M15:N15"/>
    <mergeCell ref="M14:N14"/>
    <mergeCell ref="A2:C2"/>
    <mergeCell ref="A3:E3"/>
    <mergeCell ref="A4:D5"/>
    <mergeCell ref="A8:A11"/>
    <mergeCell ref="B8:C11"/>
    <mergeCell ref="D8:D11"/>
    <mergeCell ref="E8:E11"/>
    <mergeCell ref="M13:N13"/>
    <mergeCell ref="H8:J9"/>
    <mergeCell ref="J10:J11"/>
  </mergeCells>
  <phoneticPr fontId="4"/>
  <printOptions horizontalCentered="1" verticalCentered="1"/>
  <pageMargins left="0.25" right="0.25" top="0.75" bottom="0.75" header="0.3" footer="0.3"/>
  <pageSetup paperSize="9" scale="5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topLeftCell="A7" zoomScale="61" zoomScaleNormal="61" zoomScaleSheetLayoutView="61" workbookViewId="0">
      <selection activeCell="M52" sqref="M52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7.375" style="37" customWidth="1"/>
    <col min="5" max="9" width="10.625" style="28" customWidth="1"/>
    <col min="10" max="10" width="17.75" style="1" customWidth="1"/>
    <col min="11" max="11" width="22.125" style="1" customWidth="1"/>
    <col min="12" max="16384" width="9" style="1"/>
  </cols>
  <sheetData>
    <row r="1" spans="1:13" ht="30" customHeight="1" x14ac:dyDescent="0.4">
      <c r="A1" s="32"/>
      <c r="B1" s="42"/>
      <c r="C1" s="42"/>
      <c r="D1" s="42"/>
      <c r="I1" s="47" t="s">
        <v>24</v>
      </c>
    </row>
    <row r="2" spans="1:13" ht="35.85" customHeight="1" x14ac:dyDescent="0.4">
      <c r="A2" s="209" t="s">
        <v>14</v>
      </c>
      <c r="B2" s="210"/>
      <c r="C2" s="210"/>
      <c r="D2" s="146"/>
      <c r="E2" s="2"/>
      <c r="F2" s="2"/>
      <c r="G2" s="2"/>
      <c r="H2" s="2"/>
      <c r="I2" s="48" t="s">
        <v>25</v>
      </c>
      <c r="J2" s="51"/>
      <c r="K2" s="51"/>
    </row>
    <row r="3" spans="1:13" ht="35.85" customHeight="1" thickBot="1" x14ac:dyDescent="0.45">
      <c r="A3" s="211" t="s">
        <v>15</v>
      </c>
      <c r="B3" s="211"/>
      <c r="C3" s="211"/>
      <c r="D3" s="211"/>
      <c r="E3" s="211"/>
      <c r="F3" s="147"/>
      <c r="G3" s="150"/>
      <c r="H3" s="161"/>
      <c r="I3" s="48" t="s">
        <v>26</v>
      </c>
      <c r="J3" s="52"/>
      <c r="K3" s="52"/>
    </row>
    <row r="4" spans="1:13" ht="35.85" customHeight="1" x14ac:dyDescent="0.4">
      <c r="A4" s="263" t="s">
        <v>64</v>
      </c>
      <c r="B4" s="264"/>
      <c r="C4" s="264"/>
      <c r="D4" s="265"/>
      <c r="E4" s="76"/>
      <c r="F4" s="45"/>
      <c r="G4" s="45"/>
      <c r="H4" s="45"/>
      <c r="I4" s="48" t="s">
        <v>27</v>
      </c>
      <c r="J4" s="44"/>
      <c r="K4" s="44"/>
    </row>
    <row r="5" spans="1:13" ht="35.85" customHeight="1" thickBot="1" x14ac:dyDescent="0.45">
      <c r="A5" s="266"/>
      <c r="B5" s="267"/>
      <c r="C5" s="267"/>
      <c r="D5" s="268"/>
      <c r="E5" s="76"/>
      <c r="F5" s="45"/>
      <c r="G5" s="45"/>
      <c r="H5" s="45"/>
      <c r="I5" s="49" t="s">
        <v>28</v>
      </c>
      <c r="J5" s="44"/>
      <c r="K5" s="44"/>
    </row>
    <row r="6" spans="1:13" ht="35.85" customHeight="1" x14ac:dyDescent="0.35">
      <c r="A6" s="33"/>
      <c r="B6" s="34"/>
      <c r="C6" s="34"/>
      <c r="D6" s="34"/>
      <c r="E6" s="30"/>
      <c r="F6" s="30"/>
      <c r="G6" s="30"/>
      <c r="H6" s="30"/>
      <c r="I6" s="50" t="s">
        <v>29</v>
      </c>
      <c r="J6" s="44"/>
      <c r="K6" s="44"/>
    </row>
    <row r="7" spans="1:13" ht="15.75" customHeight="1" thickBot="1" x14ac:dyDescent="0.4">
      <c r="A7" s="35"/>
      <c r="B7" s="36"/>
      <c r="C7" s="36"/>
      <c r="D7" s="36"/>
      <c r="E7" s="3"/>
      <c r="F7" s="3"/>
      <c r="G7" s="3"/>
      <c r="H7" s="3"/>
      <c r="I7" s="29"/>
      <c r="J7" s="29"/>
      <c r="K7" s="29"/>
    </row>
    <row r="8" spans="1:13" ht="2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59</v>
      </c>
      <c r="G8" s="229" t="s">
        <v>60</v>
      </c>
      <c r="H8" s="271"/>
      <c r="I8" s="272"/>
      <c r="J8" s="280" t="s">
        <v>61</v>
      </c>
      <c r="K8" s="280" t="s">
        <v>62</v>
      </c>
      <c r="L8" s="199" t="s">
        <v>4</v>
      </c>
      <c r="M8" s="199"/>
    </row>
    <row r="9" spans="1:13" ht="13.15" customHeight="1" thickBot="1" x14ac:dyDescent="0.45">
      <c r="A9" s="219"/>
      <c r="B9" s="223"/>
      <c r="C9" s="223"/>
      <c r="D9" s="197"/>
      <c r="E9" s="188"/>
      <c r="F9" s="248"/>
      <c r="G9" s="287"/>
      <c r="H9" s="288"/>
      <c r="I9" s="274"/>
      <c r="J9" s="281"/>
      <c r="K9" s="281"/>
      <c r="L9" s="200"/>
      <c r="M9" s="200"/>
    </row>
    <row r="10" spans="1:13" ht="12.75" customHeight="1" x14ac:dyDescent="0.4">
      <c r="A10" s="220"/>
      <c r="B10" s="224"/>
      <c r="C10" s="224"/>
      <c r="D10" s="197"/>
      <c r="E10" s="188"/>
      <c r="F10" s="248"/>
      <c r="G10" s="275" t="s">
        <v>5</v>
      </c>
      <c r="H10" s="275" t="s">
        <v>69</v>
      </c>
      <c r="I10" s="275" t="s">
        <v>67</v>
      </c>
      <c r="J10" s="281"/>
      <c r="K10" s="281"/>
      <c r="L10" s="200"/>
      <c r="M10" s="200"/>
    </row>
    <row r="11" spans="1:13" ht="13.15" customHeight="1" thickBot="1" x14ac:dyDescent="0.45">
      <c r="A11" s="221"/>
      <c r="B11" s="225"/>
      <c r="C11" s="225"/>
      <c r="D11" s="198"/>
      <c r="E11" s="189"/>
      <c r="F11" s="249"/>
      <c r="G11" s="234"/>
      <c r="H11" s="289"/>
      <c r="I11" s="234"/>
      <c r="J11" s="282"/>
      <c r="K11" s="282"/>
      <c r="L11" s="201"/>
      <c r="M11" s="201"/>
    </row>
    <row r="12" spans="1:13" ht="30" x14ac:dyDescent="0.4">
      <c r="A12" s="202">
        <f>山城!A12</f>
        <v>46152</v>
      </c>
      <c r="B12" s="204" t="s">
        <v>7</v>
      </c>
      <c r="C12" s="143" t="s">
        <v>8</v>
      </c>
      <c r="D12" s="124" t="str">
        <f>山城!D12</f>
        <v>ごぼうと竹輪の煮物</v>
      </c>
      <c r="E12" s="141">
        <v>105</v>
      </c>
      <c r="F12" s="141">
        <v>2</v>
      </c>
      <c r="G12" s="148"/>
      <c r="H12" s="162"/>
      <c r="I12" s="119"/>
      <c r="J12" s="5"/>
      <c r="K12" s="5"/>
      <c r="L12" s="206"/>
      <c r="M12" s="207"/>
    </row>
    <row r="13" spans="1:13" ht="30" x14ac:dyDescent="0.4">
      <c r="A13" s="203"/>
      <c r="B13" s="205"/>
      <c r="C13" s="144" t="s">
        <v>9</v>
      </c>
      <c r="D13" s="105" t="str">
        <f>山城!D13</f>
        <v>いんげんの味噌和え</v>
      </c>
      <c r="E13" s="58">
        <v>105</v>
      </c>
      <c r="F13" s="58">
        <v>2</v>
      </c>
      <c r="G13" s="58"/>
      <c r="H13" s="58"/>
      <c r="I13" s="120"/>
      <c r="J13" s="9"/>
      <c r="K13" s="9"/>
      <c r="L13" s="158"/>
      <c r="M13" s="15"/>
    </row>
    <row r="14" spans="1:13" ht="30" x14ac:dyDescent="0.4">
      <c r="A14" s="203"/>
      <c r="B14" s="184" t="s">
        <v>10</v>
      </c>
      <c r="C14" s="138" t="s">
        <v>11</v>
      </c>
      <c r="D14" s="106" t="str">
        <f>山城!D14</f>
        <v>豚肉と白菜のすき煮</v>
      </c>
      <c r="E14" s="57">
        <v>103</v>
      </c>
      <c r="F14" s="57">
        <v>2</v>
      </c>
      <c r="G14" s="57">
        <v>2</v>
      </c>
      <c r="H14" s="57"/>
      <c r="I14" s="104"/>
      <c r="J14" s="14"/>
      <c r="K14" s="14"/>
      <c r="L14" s="285"/>
      <c r="M14" s="286"/>
    </row>
    <row r="15" spans="1:13" ht="30" x14ac:dyDescent="0.4">
      <c r="A15" s="203"/>
      <c r="B15" s="185"/>
      <c r="C15" s="139" t="s">
        <v>8</v>
      </c>
      <c r="D15" s="111" t="str">
        <f>山城!D15</f>
        <v>さつま芋の天ぷら</v>
      </c>
      <c r="E15" s="8">
        <v>105</v>
      </c>
      <c r="F15" s="8">
        <v>2</v>
      </c>
      <c r="G15" s="8"/>
      <c r="H15" s="8"/>
      <c r="I15" s="103"/>
      <c r="J15" s="16"/>
      <c r="K15" s="16"/>
      <c r="L15" s="259"/>
      <c r="M15" s="260"/>
    </row>
    <row r="16" spans="1:13" ht="30" x14ac:dyDescent="0.4">
      <c r="A16" s="203"/>
      <c r="B16" s="208"/>
      <c r="C16" s="145" t="s">
        <v>9</v>
      </c>
      <c r="D16" s="85" t="str">
        <f>山城!D16</f>
        <v>ﾌﾞﾛｯｺﾘｰのちりめん和え</v>
      </c>
      <c r="E16" s="58">
        <v>102</v>
      </c>
      <c r="F16" s="19">
        <v>2</v>
      </c>
      <c r="G16" s="19"/>
      <c r="H16" s="19">
        <v>3</v>
      </c>
      <c r="I16" s="121"/>
      <c r="J16" s="20"/>
      <c r="K16" s="20"/>
      <c r="L16" s="269"/>
      <c r="M16" s="270"/>
    </row>
    <row r="17" spans="1:13" ht="30" x14ac:dyDescent="0.4">
      <c r="A17" s="182" t="str">
        <f>TEXT(A12,"(aaa)")</f>
        <v>(日)</v>
      </c>
      <c r="B17" s="184" t="s">
        <v>12</v>
      </c>
      <c r="C17" s="138" t="s">
        <v>13</v>
      </c>
      <c r="D17" s="106" t="str">
        <f>山城!D17</f>
        <v>煮込みハンバーグ</v>
      </c>
      <c r="E17" s="57">
        <v>102</v>
      </c>
      <c r="F17" s="12">
        <v>12</v>
      </c>
      <c r="G17" s="12">
        <v>3</v>
      </c>
      <c r="H17" s="12"/>
      <c r="I17" s="110"/>
      <c r="J17" s="110"/>
      <c r="K17" s="110"/>
      <c r="L17" s="276"/>
      <c r="M17" s="277"/>
    </row>
    <row r="18" spans="1:13" ht="30" x14ac:dyDescent="0.4">
      <c r="A18" s="182"/>
      <c r="B18" s="185"/>
      <c r="C18" s="139" t="s">
        <v>8</v>
      </c>
      <c r="D18" s="78" t="str">
        <f>山城!D18</f>
        <v>ジャーマンポテト</v>
      </c>
      <c r="E18" s="57">
        <v>103</v>
      </c>
      <c r="F18" s="8">
        <v>12</v>
      </c>
      <c r="G18" s="8">
        <v>2</v>
      </c>
      <c r="H18" s="8"/>
      <c r="I18" s="103"/>
      <c r="J18" s="16"/>
      <c r="K18" s="16"/>
      <c r="L18" s="283"/>
      <c r="M18" s="284"/>
    </row>
    <row r="19" spans="1:13" ht="30.75" thickBot="1" x14ac:dyDescent="0.45">
      <c r="A19" s="183"/>
      <c r="B19" s="186"/>
      <c r="C19" s="140" t="s">
        <v>9</v>
      </c>
      <c r="D19" s="112" t="str">
        <f>山城!D19</f>
        <v>ほうれん草の和え物</v>
      </c>
      <c r="E19" s="142">
        <v>105</v>
      </c>
      <c r="F19" s="142">
        <v>12</v>
      </c>
      <c r="G19" s="149"/>
      <c r="H19" s="163"/>
      <c r="I19" s="123"/>
      <c r="J19" s="25"/>
      <c r="K19" s="25"/>
      <c r="L19" s="278"/>
      <c r="M19" s="279"/>
    </row>
    <row r="31" spans="1:13" ht="18" customHeight="1" x14ac:dyDescent="0.4">
      <c r="M31" s="1" t="s">
        <v>35</v>
      </c>
    </row>
    <row r="38" spans="1:4" s="28" customFormat="1" ht="18" customHeight="1" x14ac:dyDescent="0.4">
      <c r="A38" s="37"/>
      <c r="B38" s="37"/>
      <c r="C38" s="37"/>
      <c r="D38" s="37"/>
    </row>
  </sheetData>
  <mergeCells count="27">
    <mergeCell ref="A2:C2"/>
    <mergeCell ref="A3:E3"/>
    <mergeCell ref="A4:D5"/>
    <mergeCell ref="A8:A11"/>
    <mergeCell ref="B8:C11"/>
    <mergeCell ref="D8:D11"/>
    <mergeCell ref="E8:E11"/>
    <mergeCell ref="F8:F11"/>
    <mergeCell ref="J8:J11"/>
    <mergeCell ref="K8:K11"/>
    <mergeCell ref="L8:M11"/>
    <mergeCell ref="I10:I11"/>
    <mergeCell ref="G10:G11"/>
    <mergeCell ref="G8:I9"/>
    <mergeCell ref="H10:H11"/>
    <mergeCell ref="A17:A19"/>
    <mergeCell ref="B17:B19"/>
    <mergeCell ref="A12:A16"/>
    <mergeCell ref="B12:B13"/>
    <mergeCell ref="L12:M12"/>
    <mergeCell ref="B14:B16"/>
    <mergeCell ref="L15:M15"/>
    <mergeCell ref="L16:M16"/>
    <mergeCell ref="L19:M19"/>
    <mergeCell ref="L18:M18"/>
    <mergeCell ref="L14:M14"/>
    <mergeCell ref="L17:M17"/>
  </mergeCells>
  <phoneticPr fontId="4"/>
  <printOptions horizontalCentered="1" verticalCentered="1"/>
  <pageMargins left="0.25" right="0.25" top="0.75" bottom="0.75" header="0.3" footer="0.3"/>
  <pageSetup paperSize="9" scale="58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tabSelected="1" zoomScale="61" zoomScaleNormal="61" zoomScaleSheetLayoutView="61" workbookViewId="0">
      <selection activeCell="O39" sqref="O39"/>
    </sheetView>
  </sheetViews>
  <sheetFormatPr defaultColWidth="9" defaultRowHeight="18" customHeight="1" x14ac:dyDescent="0.4"/>
  <cols>
    <col min="1" max="1" width="8.5" style="37" customWidth="1"/>
    <col min="2" max="2" width="3.625" style="37" customWidth="1"/>
    <col min="3" max="3" width="7.125" style="37" customWidth="1"/>
    <col min="4" max="4" width="29.875" style="37" customWidth="1"/>
    <col min="5" max="8" width="10.75" style="28" customWidth="1"/>
    <col min="9" max="9" width="14.75" style="1" customWidth="1"/>
    <col min="10" max="10" width="19.875" style="1" customWidth="1"/>
    <col min="11" max="16384" width="9" style="1"/>
  </cols>
  <sheetData>
    <row r="1" spans="1:10" ht="30" customHeight="1" x14ac:dyDescent="0.4">
      <c r="A1" s="32"/>
      <c r="B1" s="42"/>
      <c r="C1" s="42"/>
      <c r="D1" s="42"/>
      <c r="H1" s="47" t="s">
        <v>24</v>
      </c>
    </row>
    <row r="2" spans="1:10" ht="35.85" customHeight="1" x14ac:dyDescent="0.4">
      <c r="A2" s="209" t="s">
        <v>14</v>
      </c>
      <c r="B2" s="210"/>
      <c r="C2" s="210"/>
      <c r="D2" s="168"/>
      <c r="E2" s="2"/>
      <c r="F2" s="2"/>
      <c r="G2" s="51"/>
      <c r="H2" s="48" t="s">
        <v>25</v>
      </c>
      <c r="I2" s="51"/>
      <c r="J2" s="51"/>
    </row>
    <row r="3" spans="1:10" ht="35.85" customHeight="1" thickBot="1" x14ac:dyDescent="0.45">
      <c r="A3" s="211" t="s">
        <v>15</v>
      </c>
      <c r="B3" s="211"/>
      <c r="C3" s="211"/>
      <c r="D3" s="211"/>
      <c r="E3" s="211"/>
      <c r="F3" s="169"/>
      <c r="G3" s="52"/>
      <c r="H3" s="48" t="s">
        <v>26</v>
      </c>
      <c r="I3" s="52"/>
      <c r="J3" s="52"/>
    </row>
    <row r="4" spans="1:10" ht="35.85" customHeight="1" x14ac:dyDescent="0.4">
      <c r="A4" s="235" t="s">
        <v>73</v>
      </c>
      <c r="B4" s="236"/>
      <c r="C4" s="236"/>
      <c r="D4" s="237"/>
      <c r="E4" s="77"/>
      <c r="F4" s="56"/>
      <c r="G4" s="44"/>
      <c r="H4" s="48" t="s">
        <v>27</v>
      </c>
      <c r="I4" s="44"/>
      <c r="J4" s="44"/>
    </row>
    <row r="5" spans="1:10" ht="35.85" customHeight="1" thickBot="1" x14ac:dyDescent="0.45">
      <c r="A5" s="238"/>
      <c r="B5" s="239"/>
      <c r="C5" s="239"/>
      <c r="D5" s="240"/>
      <c r="E5" s="77"/>
      <c r="F5" s="56"/>
      <c r="G5" s="44"/>
      <c r="H5" s="49" t="s">
        <v>28</v>
      </c>
      <c r="I5" s="44"/>
      <c r="J5" s="44"/>
    </row>
    <row r="6" spans="1:10" ht="35.85" customHeight="1" x14ac:dyDescent="0.35">
      <c r="A6" s="33"/>
      <c r="B6" s="34"/>
      <c r="C6" s="34"/>
      <c r="D6" s="34"/>
      <c r="E6" s="30"/>
      <c r="F6" s="30"/>
      <c r="G6" s="44"/>
      <c r="H6" s="50" t="s">
        <v>29</v>
      </c>
      <c r="I6" s="44"/>
      <c r="J6" s="44"/>
    </row>
    <row r="7" spans="1:10" ht="15.75" customHeight="1" thickBot="1" x14ac:dyDescent="0.4">
      <c r="A7" s="35"/>
      <c r="B7" s="36"/>
      <c r="C7" s="36"/>
      <c r="D7" s="36"/>
      <c r="E7" s="3"/>
      <c r="F7" s="3"/>
      <c r="G7" s="29"/>
      <c r="H7" s="29"/>
      <c r="I7" s="29"/>
      <c r="J7" s="29"/>
    </row>
    <row r="8" spans="1:10" ht="18.600000000000001" customHeight="1" x14ac:dyDescent="0.4">
      <c r="A8" s="218" t="s">
        <v>0</v>
      </c>
      <c r="B8" s="222" t="s">
        <v>1</v>
      </c>
      <c r="C8" s="222"/>
      <c r="D8" s="196" t="s">
        <v>47</v>
      </c>
      <c r="E8" s="187" t="s">
        <v>2</v>
      </c>
      <c r="F8" s="187" t="s">
        <v>53</v>
      </c>
      <c r="G8" s="229" t="s">
        <v>74</v>
      </c>
      <c r="H8" s="230"/>
      <c r="I8" s="199" t="s">
        <v>4</v>
      </c>
      <c r="J8" s="199"/>
    </row>
    <row r="9" spans="1:10" ht="28.5" customHeight="1" thickBot="1" x14ac:dyDescent="0.45">
      <c r="A9" s="219"/>
      <c r="B9" s="223"/>
      <c r="C9" s="223"/>
      <c r="D9" s="197"/>
      <c r="E9" s="188"/>
      <c r="F9" s="188"/>
      <c r="G9" s="231"/>
      <c r="H9" s="232"/>
      <c r="I9" s="200"/>
      <c r="J9" s="200"/>
    </row>
    <row r="10" spans="1:10" ht="18.600000000000001" customHeight="1" x14ac:dyDescent="0.4">
      <c r="A10" s="220"/>
      <c r="B10" s="224"/>
      <c r="C10" s="224"/>
      <c r="D10" s="197"/>
      <c r="E10" s="188"/>
      <c r="F10" s="188"/>
      <c r="G10" s="233" t="s">
        <v>5</v>
      </c>
      <c r="H10" s="233" t="s">
        <v>6</v>
      </c>
      <c r="I10" s="200"/>
      <c r="J10" s="200"/>
    </row>
    <row r="11" spans="1:10" ht="18.600000000000001" customHeight="1" thickBot="1" x14ac:dyDescent="0.45">
      <c r="A11" s="221"/>
      <c r="B11" s="225"/>
      <c r="C11" s="225"/>
      <c r="D11" s="198"/>
      <c r="E11" s="189"/>
      <c r="F11" s="189"/>
      <c r="G11" s="234"/>
      <c r="H11" s="234"/>
      <c r="I11" s="201"/>
      <c r="J11" s="201"/>
    </row>
    <row r="12" spans="1:10" ht="23.45" customHeight="1" x14ac:dyDescent="0.4">
      <c r="A12" s="202">
        <f>山城!A12:D19</f>
        <v>46152</v>
      </c>
      <c r="B12" s="204" t="s">
        <v>7</v>
      </c>
      <c r="C12" s="172" t="s">
        <v>8</v>
      </c>
      <c r="D12" s="124" t="str">
        <f>山城!D12</f>
        <v>ごぼうと竹輪の煮物</v>
      </c>
      <c r="E12" s="4">
        <v>25</v>
      </c>
      <c r="F12" s="170">
        <v>2</v>
      </c>
      <c r="G12" s="5"/>
      <c r="H12" s="5"/>
      <c r="I12" s="206"/>
      <c r="J12" s="207"/>
    </row>
    <row r="13" spans="1:10" ht="23.25" customHeight="1" x14ac:dyDescent="0.4">
      <c r="A13" s="203"/>
      <c r="B13" s="205"/>
      <c r="C13" s="173" t="s">
        <v>9</v>
      </c>
      <c r="D13" s="105" t="str">
        <f>山城!D13</f>
        <v>いんげんの味噌和え</v>
      </c>
      <c r="E13" s="19">
        <v>25</v>
      </c>
      <c r="F13" s="58">
        <v>2</v>
      </c>
      <c r="G13" s="9"/>
      <c r="H13" s="9"/>
      <c r="I13" s="10"/>
      <c r="J13" s="11"/>
    </row>
    <row r="14" spans="1:10" ht="23.45" customHeight="1" x14ac:dyDescent="0.4">
      <c r="A14" s="203"/>
      <c r="B14" s="184" t="s">
        <v>10</v>
      </c>
      <c r="C14" s="174" t="s">
        <v>11</v>
      </c>
      <c r="D14" s="106" t="str">
        <f>山城!D14</f>
        <v>豚肉と白菜のすき煮</v>
      </c>
      <c r="E14" s="12">
        <v>25</v>
      </c>
      <c r="F14" s="57">
        <v>2</v>
      </c>
      <c r="G14" s="13"/>
      <c r="H14" s="14"/>
      <c r="I14" s="68"/>
      <c r="J14" s="15"/>
    </row>
    <row r="15" spans="1:10" ht="23.45" customHeight="1" x14ac:dyDescent="0.4">
      <c r="A15" s="203"/>
      <c r="B15" s="185"/>
      <c r="C15" s="175" t="s">
        <v>8</v>
      </c>
      <c r="D15" s="111" t="str">
        <f>山城!D15</f>
        <v>さつま芋の天ぷら</v>
      </c>
      <c r="E15" s="8">
        <v>25</v>
      </c>
      <c r="F15" s="8">
        <v>2</v>
      </c>
      <c r="G15" s="16"/>
      <c r="H15" s="16"/>
      <c r="I15" s="179"/>
      <c r="J15" s="18"/>
    </row>
    <row r="16" spans="1:10" ht="23.45" customHeight="1" x14ac:dyDescent="0.4">
      <c r="A16" s="203"/>
      <c r="B16" s="208"/>
      <c r="C16" s="176" t="s">
        <v>9</v>
      </c>
      <c r="D16" s="85" t="str">
        <f>山城!D16</f>
        <v>ﾌﾞﾛｯｺﾘｰのちりめん和え</v>
      </c>
      <c r="E16" s="19">
        <v>25</v>
      </c>
      <c r="F16" s="19">
        <v>2</v>
      </c>
      <c r="G16" s="20"/>
      <c r="H16" s="20"/>
      <c r="I16" s="180"/>
      <c r="J16" s="181"/>
    </row>
    <row r="17" spans="1:11" ht="23.45" customHeight="1" x14ac:dyDescent="0.4">
      <c r="A17" s="182" t="str">
        <f>TEXT(A12,"(aaa)")</f>
        <v>(日)</v>
      </c>
      <c r="B17" s="184" t="s">
        <v>12</v>
      </c>
      <c r="C17" s="174" t="s">
        <v>13</v>
      </c>
      <c r="D17" s="106" t="str">
        <f>山城!D17</f>
        <v>煮込みハンバーグ</v>
      </c>
      <c r="E17" s="12">
        <v>26</v>
      </c>
      <c r="F17" s="12">
        <v>2</v>
      </c>
      <c r="G17" s="23"/>
      <c r="H17" s="24"/>
      <c r="I17" s="68"/>
      <c r="J17" s="15"/>
    </row>
    <row r="18" spans="1:11" ht="23.45" customHeight="1" x14ac:dyDescent="0.4">
      <c r="A18" s="182"/>
      <c r="B18" s="185"/>
      <c r="C18" s="175" t="s">
        <v>8</v>
      </c>
      <c r="D18" s="78" t="str">
        <f>山城!D18</f>
        <v>ジャーマンポテト</v>
      </c>
      <c r="E18" s="8">
        <v>26</v>
      </c>
      <c r="F18" s="8">
        <v>2</v>
      </c>
      <c r="G18" s="16"/>
      <c r="H18" s="16"/>
      <c r="I18" s="179"/>
      <c r="J18" s="18"/>
    </row>
    <row r="19" spans="1:11" ht="23.45" customHeight="1" thickBot="1" x14ac:dyDescent="0.45">
      <c r="A19" s="183"/>
      <c r="B19" s="186"/>
      <c r="C19" s="177" t="s">
        <v>9</v>
      </c>
      <c r="D19" s="112" t="str">
        <f>山城!D19</f>
        <v>ほうれん草の和え物</v>
      </c>
      <c r="E19" s="171">
        <v>26</v>
      </c>
      <c r="F19" s="171">
        <v>2</v>
      </c>
      <c r="G19" s="25"/>
      <c r="H19" s="25"/>
      <c r="I19" s="178"/>
      <c r="J19" s="27"/>
    </row>
    <row r="31" spans="1:11" ht="18" customHeight="1" x14ac:dyDescent="0.4">
      <c r="K31" s="1" t="s">
        <v>35</v>
      </c>
    </row>
    <row r="38" spans="1:7" s="28" customFormat="1" ht="18" customHeight="1" x14ac:dyDescent="0.4">
      <c r="A38" s="37"/>
      <c r="B38" s="37"/>
      <c r="C38" s="37"/>
      <c r="D38" s="37"/>
    </row>
    <row r="41" spans="1:7" ht="18" customHeight="1" x14ac:dyDescent="0.4">
      <c r="G41" s="28" t="s">
        <v>46</v>
      </c>
    </row>
  </sheetData>
  <mergeCells count="18">
    <mergeCell ref="A17:A19"/>
    <mergeCell ref="B17:B19"/>
    <mergeCell ref="F8:F11"/>
    <mergeCell ref="G8:H9"/>
    <mergeCell ref="I8:J11"/>
    <mergeCell ref="G10:G11"/>
    <mergeCell ref="H10:H11"/>
    <mergeCell ref="A12:A16"/>
    <mergeCell ref="B12:B13"/>
    <mergeCell ref="I12:J12"/>
    <mergeCell ref="B14:B16"/>
    <mergeCell ref="A2:C2"/>
    <mergeCell ref="A3:E3"/>
    <mergeCell ref="A4:D5"/>
    <mergeCell ref="A8:A11"/>
    <mergeCell ref="B8:C11"/>
    <mergeCell ref="D8:D11"/>
    <mergeCell ref="E8:E11"/>
  </mergeCells>
  <phoneticPr fontId="4"/>
  <printOptions horizontalCentered="1" verticalCentered="1"/>
  <pageMargins left="0.25" right="0.25" top="0.75" bottom="0.75" header="0.3" footer="0.3"/>
  <pageSetup paperSize="9" scale="7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15</vt:i4>
      </vt:variant>
      <vt:variant>
        <vt:lpstr>名前付き一覧</vt:lpstr>
      </vt:variant>
      <vt:variant>
        <vt:i4>15</vt:i4>
      </vt:variant>
    </vt:vector>
  </HeadingPairs>
  <TitlesOfParts>
    <vt:vector size="30" baseType="lpstr">
      <vt:lpstr>山城</vt:lpstr>
      <vt:lpstr>いこいの森</vt:lpstr>
      <vt:lpstr>佐古</vt:lpstr>
      <vt:lpstr>四万十ピア</vt:lpstr>
      <vt:lpstr>そよかぜ</vt:lpstr>
      <vt:lpstr>グランフォレスト</vt:lpstr>
      <vt:lpstr>アイテラス</vt:lpstr>
      <vt:lpstr>池袋病院</vt:lpstr>
      <vt:lpstr>なごみ</vt:lpstr>
      <vt:lpstr>大和なでしこ</vt:lpstr>
      <vt:lpstr>百々家</vt:lpstr>
      <vt:lpstr>春日苑</vt:lpstr>
      <vt:lpstr>ふれあいの丘</vt:lpstr>
      <vt:lpstr>さくら</vt:lpstr>
      <vt:lpstr>長生苑</vt:lpstr>
      <vt:lpstr>アイテラス!Print_Area</vt:lpstr>
      <vt:lpstr>いこいの森!Print_Area</vt:lpstr>
      <vt:lpstr>グランフォレスト!Print_Area</vt:lpstr>
      <vt:lpstr>さくら!Print_Area</vt:lpstr>
      <vt:lpstr>そよかぜ!Print_Area</vt:lpstr>
      <vt:lpstr>なごみ!Print_Area</vt:lpstr>
      <vt:lpstr>ふれあいの丘!Print_Area</vt:lpstr>
      <vt:lpstr>佐古!Print_Area</vt:lpstr>
      <vt:lpstr>山城!Print_Area</vt:lpstr>
      <vt:lpstr>四万十ピア!Print_Area</vt:lpstr>
      <vt:lpstr>春日苑!Print_Area</vt:lpstr>
      <vt:lpstr>大和なでしこ!Print_Area</vt:lpstr>
      <vt:lpstr>池袋病院!Print_Area</vt:lpstr>
      <vt:lpstr>長生苑!Print_Area</vt:lpstr>
      <vt:lpstr>百々家!Print_Area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恩英 張</dc:creator>
  <cp:lastModifiedBy>PCUSER</cp:lastModifiedBy>
  <cp:lastPrinted>2026-05-01T02:07:19Z</cp:lastPrinted>
  <dcterms:created xsi:type="dcterms:W3CDTF">2024-09-24T04:03:51Z</dcterms:created>
  <dcterms:modified xsi:type="dcterms:W3CDTF">2026-05-01T02:10:04Z</dcterms:modified>
</cp:coreProperties>
</file>