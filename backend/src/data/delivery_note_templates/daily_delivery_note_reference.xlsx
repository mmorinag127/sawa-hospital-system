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5" yWindow="-15" windowWidth="9600" windowHeight="11925" tabRatio="721" firstSheet="4" activeTab="14" autoFilterDateGrouping="1"/>
  </bookViews>
  <sheets>
    <sheet name="山城" sheetId="1" state="visible" r:id="rId1"/>
    <sheet name="いこいの森" sheetId="2" state="visible" r:id="rId2"/>
    <sheet name="佐古" sheetId="3" state="visible" r:id="rId3"/>
    <sheet name="四万十ピア" sheetId="4" state="visible" r:id="rId4"/>
    <sheet name="そよかぜ" sheetId="5" state="visible" r:id="rId5"/>
    <sheet name="グランフォレスト" sheetId="6" state="visible" r:id="rId6"/>
    <sheet name="アイテラス" sheetId="7" state="visible" r:id="rId7"/>
    <sheet name="池袋病院" sheetId="8" state="visible" r:id="rId8"/>
    <sheet name="なごみ" sheetId="9" state="visible" r:id="rId9"/>
    <sheet name="大和なでしこ" sheetId="10" state="visible" r:id="rId10"/>
    <sheet name="百々家" sheetId="11" state="visible" r:id="rId11"/>
    <sheet name="春日苑" sheetId="12" state="visible" r:id="rId12"/>
    <sheet name="ふれあいの丘" sheetId="13" state="visible" r:id="rId13"/>
    <sheet name="さくら" sheetId="14" state="visible" r:id="rId14"/>
    <sheet name="長生苑" sheetId="15" state="visible" r:id="rId15"/>
  </sheets>
  <definedNames>
    <definedName name="aaa">#REF!</definedName>
    <definedName name="ColumnTitle1">#REF!</definedName>
    <definedName name="ＫＨＡＮ">#REF!</definedName>
    <definedName name="LastDay_Week">MAX(#REF!)</definedName>
    <definedName name="LastDayOfMonth_Week">DAY(EOMONTH(DATE(#REF!,WkMonthNum,1),0))</definedName>
    <definedName name="MoMonth">#REF!</definedName>
    <definedName name="MoMonthNum">MONTH(DATEVALUE(MoMonth&amp;"/1"))</definedName>
    <definedName name="MoWeek2">#REF!</definedName>
    <definedName name="MoWeek3">#REF!</definedName>
    <definedName name="MoWeek4">#REF!</definedName>
    <definedName name="MoWeek5">#REF!</definedName>
    <definedName name="MoYear">#REF!</definedName>
    <definedName name="soyokaze">LEFT(RIGHT(#REF!,3),1)</definedName>
    <definedName name="WkMonth">#REF!</definedName>
    <definedName name="WkMonthNum">MONTH(DATEVALUE(#REF!&amp;"/1"))</definedName>
    <definedName name="WkMonthView">#REF!</definedName>
    <definedName name="WkWeek">LEFT(RIGHT(#REF!,3),1)</definedName>
    <definedName name="あい">DAY(EOMONTH(DATE(#REF!,WkMonthNum,1),0))</definedName>
    <definedName name="お">#REF!</definedName>
    <definedName name="おか">#REF!</definedName>
    <definedName name="か">#REF!</definedName>
    <definedName name="く">MAX(#REF!)</definedName>
    <definedName name="サクラ">#REF!</definedName>
    <definedName name="さくら">#REF!</definedName>
    <definedName name="さくら②">#REF!</definedName>
    <definedName name="ふ">MONTH(DATEVALUE(#REF!&amp;"/1"))</definedName>
    <definedName name="ふれあい">#REF!</definedName>
    <definedName name="れ">LEFT(RIGHT(#REF!,3),1)</definedName>
    <definedName name="丘">MAX(#REF!)</definedName>
    <definedName name="佐古">#REF!</definedName>
    <definedName name="佐古2">MONTH(DATEVALUE(MoMonth&amp;"/1"))</definedName>
    <definedName name="佐古5">#REF!</definedName>
    <definedName name="四宮">MAX(#REF!)</definedName>
    <definedName name="春日">#REF!</definedName>
    <definedName name="春日苑">#REF!</definedName>
    <definedName name="春日苑2">#REF!</definedName>
    <definedName name="春日苑3">MONTH(DATEVALUE(MoMonth&amp;"/1"))</definedName>
    <definedName name="春日苑5">#REF!</definedName>
    <definedName name="大我">#REF!</definedName>
    <definedName name="aaa" localSheetId="0">#REF!</definedName>
    <definedName name="ColumnTitle1" localSheetId="0">#REF!</definedName>
    <definedName name="ＫＨＡＮ" localSheetId="0">#REF!</definedName>
    <definedName name="LastDay_Week" localSheetId="0">MAX(#REF!)</definedName>
    <definedName name="LastDayOfMonth_Week" localSheetId="0">DAY(EOMONTH(DATE(#REF!,山城!WkMonthNum,1),0))</definedName>
    <definedName name="MoMonth" localSheetId="0">#REF!</definedName>
    <definedName name="MoMonthNum" localSheetId="0">MONTH(DATEVALUE(山城!MoMonth&amp;"/1"))</definedName>
    <definedName name="MoWeek2" localSheetId="0">#REF!</definedName>
    <definedName name="MoWeek3" localSheetId="0">#REF!</definedName>
    <definedName name="MoWeek4" localSheetId="0">#REF!</definedName>
    <definedName name="MoWeek5" localSheetId="0">#REF!</definedName>
    <definedName name="MoYear" localSheetId="0">#REF!</definedName>
    <definedName name="soyokaze" localSheetId="0">LEFT(RIGHT(#REF!,3),1)</definedName>
    <definedName name="WkMonth" localSheetId="0">#REF!</definedName>
    <definedName name="WkMonthNum" localSheetId="0">MONTH(DATEVALUE(#REF!&amp;"/1"))</definedName>
    <definedName name="WkMonthView" localSheetId="0">#REF!</definedName>
    <definedName name="WkWeek" localSheetId="0">LEFT(RIGHT(#REF!,3),1)</definedName>
    <definedName name="か" localSheetId="0">#REF!</definedName>
    <definedName name="く" localSheetId="0">MAX(#REF!)</definedName>
    <definedName name="四宮" localSheetId="0">MAX(#REF!)</definedName>
    <definedName name="大我" localSheetId="0">#REF!</definedName>
    <definedName name="_xlnm.Print_Area" localSheetId="0">'山城'!$A$1:$K$19</definedName>
    <definedName name="aaa" localSheetId="1">#REF!</definedName>
    <definedName name="ColumnTitle1" localSheetId="1">#REF!</definedName>
    <definedName name="LastDay_Week" localSheetId="1">MAX(#REF!)</definedName>
    <definedName name="LastDayOfMonth_Week" localSheetId="1">DAY(EOMONTH(DATE(#REF!,いこいの森!WkMonthNum,1),0))</definedName>
    <definedName name="MoMonth" localSheetId="1">#REF!</definedName>
    <definedName name="MoMonthNum" localSheetId="1">MONTH(DATEVALUE(いこいの森!MoMonth&amp;"/1"))</definedName>
    <definedName name="MoWeek2" localSheetId="1">#REF!</definedName>
    <definedName name="MoWeek3" localSheetId="1">#REF!</definedName>
    <definedName name="MoWeek4" localSheetId="1">#REF!</definedName>
    <definedName name="MoWeek5" localSheetId="1">#REF!</definedName>
    <definedName name="MoYear" localSheetId="1">#REF!</definedName>
    <definedName name="WkMonth" localSheetId="1">#REF!</definedName>
    <definedName name="WkMonthNum" localSheetId="1">MONTH(DATEVALUE(#REF!&amp;"/1"))</definedName>
    <definedName name="WkMonthView" localSheetId="1">#REF!</definedName>
    <definedName name="WkWeek" localSheetId="1">LEFT(RIGHT(#REF!,3),1)</definedName>
    <definedName name="_xlnm.Print_Area" localSheetId="1">'いこいの森'!$A$1:$K$19</definedName>
    <definedName name="aaa" localSheetId="2">#REF!</definedName>
    <definedName name="ColumnTitle1" localSheetId="2">#REF!</definedName>
    <definedName name="LastDay_Week" localSheetId="2">MAX(#REF!)</definedName>
    <definedName name="LastDayOfMonth_Week" localSheetId="2">DAY(EOMONTH(DATE(#REF!,佐古!WkMonthNum,1),0))</definedName>
    <definedName name="MoMonth" localSheetId="2">#REF!</definedName>
    <definedName name="MoMonthNum" localSheetId="2">MONTH(DATEVALUE(佐古!MoMonth&amp;"/1"))</definedName>
    <definedName name="MoWeek2" localSheetId="2">#REF!</definedName>
    <definedName name="MoWeek3" localSheetId="2">#REF!</definedName>
    <definedName name="MoWeek4" localSheetId="2">#REF!</definedName>
    <definedName name="MoWeek5" localSheetId="2">#REF!</definedName>
    <definedName name="MoYear" localSheetId="2">#REF!</definedName>
    <definedName name="WkMonth" localSheetId="2">#REF!</definedName>
    <definedName name="WkMonthNum" localSheetId="2">MONTH(DATEVALUE(#REF!&amp;"/1"))</definedName>
    <definedName name="WkMonthView" localSheetId="2">#REF!</definedName>
    <definedName name="WkWeek" localSheetId="2">LEFT(RIGHT(#REF!,3),1)</definedName>
    <definedName name="_xlnm.Print_Area" localSheetId="2">'佐古'!$A$1:$L$19</definedName>
    <definedName name="aaa" localSheetId="3">#REF!</definedName>
    <definedName name="ColumnTitle1" localSheetId="3">#REF!</definedName>
    <definedName name="ＫＨＡＮ" localSheetId="3">#REF!</definedName>
    <definedName name="LastDay_Week" localSheetId="3">MAX(#REF!)</definedName>
    <definedName name="LastDayOfMonth_Week" localSheetId="3">DAY(EOMONTH(DATE(#REF!,四万十ピア!WkMonthNum,1),0))</definedName>
    <definedName name="MoMonth" localSheetId="3">#REF!</definedName>
    <definedName name="MoMonthNum" localSheetId="3">MONTH(DATEVALUE(四万十ピア!MoMonth&amp;"/1"))</definedName>
    <definedName name="MoWeek2" localSheetId="3">#REF!</definedName>
    <definedName name="MoWeek3" localSheetId="3">#REF!</definedName>
    <definedName name="MoWeek4" localSheetId="3">#REF!</definedName>
    <definedName name="MoWeek5" localSheetId="3">#REF!</definedName>
    <definedName name="MoYear" localSheetId="3">#REF!</definedName>
    <definedName name="soyokaze" localSheetId="3">LEFT(RIGHT(#REF!,3),1)</definedName>
    <definedName name="WkMonth" localSheetId="3">#REF!</definedName>
    <definedName name="WkMonthNum" localSheetId="3">MONTH(DATEVALUE(#REF!&amp;"/1"))</definedName>
    <definedName name="WkMonthView" localSheetId="3">#REF!</definedName>
    <definedName name="WkWeek" localSheetId="3">LEFT(RIGHT(#REF!,3),1)</definedName>
    <definedName name="か" localSheetId="3">#REF!</definedName>
    <definedName name="く" localSheetId="3">MAX(#REF!)</definedName>
    <definedName name="四宮" localSheetId="3">MAX(#REF!)</definedName>
    <definedName name="大我" localSheetId="3">#REF!</definedName>
    <definedName name="_xlnm.Print_Area" localSheetId="3">'四万十ピア'!$A$1:$J$19</definedName>
    <definedName name="aaa" localSheetId="4">#REF!</definedName>
    <definedName name="ColumnTitle1" localSheetId="4">#REF!</definedName>
    <definedName name="ＫＨＡＮ" localSheetId="4">#REF!</definedName>
    <definedName name="LastDay_Week" localSheetId="4">MAX(#REF!)</definedName>
    <definedName name="LastDayOfMonth_Week" localSheetId="4">DAY(EOMONTH(DATE(#REF!,そよかぜ!WkMonthNum,1),0))</definedName>
    <definedName name="MoMonth" localSheetId="4">#REF!</definedName>
    <definedName name="MoMonthNum" localSheetId="4">MONTH(DATEVALUE(そよかぜ!MoMonth&amp;"/1"))</definedName>
    <definedName name="MoWeek2" localSheetId="4">#REF!</definedName>
    <definedName name="MoWeek3" localSheetId="4">#REF!</definedName>
    <definedName name="MoWeek4" localSheetId="4">#REF!</definedName>
    <definedName name="MoWeek5" localSheetId="4">#REF!</definedName>
    <definedName name="MoYear" localSheetId="4">#REF!</definedName>
    <definedName name="WkMonth" localSheetId="4">#REF!</definedName>
    <definedName name="WkMonthNum" localSheetId="4">MONTH(DATEVALUE(#REF!&amp;"/1"))</definedName>
    <definedName name="WkMonthView" localSheetId="4">#REF!</definedName>
    <definedName name="WkWeek" localSheetId="4">LEFT(RIGHT(#REF!,3),1)</definedName>
    <definedName name="か" localSheetId="4">#REF!</definedName>
    <definedName name="く" localSheetId="4">MAX(#REF!)</definedName>
    <definedName name="四宮" localSheetId="4">MAX(#REF!)</definedName>
    <definedName name="大我" localSheetId="4">#REF!</definedName>
    <definedName name="_xlnm.Print_Area" localSheetId="4">'そよかぜ'!$A$1:$L$19</definedName>
    <definedName name="aaa" localSheetId="5">#REF!</definedName>
    <definedName name="ColumnTitle1" localSheetId="5">#REF!</definedName>
    <definedName name="ＫＨＡＮ" localSheetId="5">#REF!</definedName>
    <definedName name="LastDay_Week" localSheetId="5">MAX(#REF!)</definedName>
    <definedName name="LastDayOfMonth_Week" localSheetId="5">DAY(EOMONTH(DATE(#REF!,グランフォレスト!WkMonthNum,1),0))</definedName>
    <definedName name="MoMonth" localSheetId="5">#REF!</definedName>
    <definedName name="MoMonthNum" localSheetId="5">MONTH(DATEVALUE(グランフォレスト!MoMonth&amp;"/1"))</definedName>
    <definedName name="MoWeek2" localSheetId="5">#REF!</definedName>
    <definedName name="MoWeek3" localSheetId="5">#REF!</definedName>
    <definedName name="MoWeek4" localSheetId="5">#REF!</definedName>
    <definedName name="MoWeek5" localSheetId="5">#REF!</definedName>
    <definedName name="MoYear" localSheetId="5">#REF!</definedName>
    <definedName name="soyokaze" localSheetId="5">LEFT(RIGHT(#REF!,3),1)</definedName>
    <definedName name="WkMonth" localSheetId="5">#REF!</definedName>
    <definedName name="WkMonthNum" localSheetId="5">MONTH(DATEVALUE(#REF!&amp;"/1"))</definedName>
    <definedName name="WkMonthView" localSheetId="5">#REF!</definedName>
    <definedName name="WkWeek" localSheetId="5">LEFT(RIGHT(#REF!,3),1)</definedName>
    <definedName name="か" localSheetId="5">#REF!</definedName>
    <definedName name="く" localSheetId="5">MAX(#REF!)</definedName>
    <definedName name="四宮" localSheetId="5">MAX(#REF!)</definedName>
    <definedName name="大我" localSheetId="5">#REF!</definedName>
    <definedName name="_xlnm.Print_Area" localSheetId="5">'グランフォレスト'!$A$1:$I$19</definedName>
    <definedName name="aaa" localSheetId="6">#REF!</definedName>
    <definedName name="ColumnTitle1" localSheetId="6">#REF!</definedName>
    <definedName name="ＫＨＡＮ" localSheetId="6">#REF!</definedName>
    <definedName name="LastDay_Week" localSheetId="6">MAX(#REF!)</definedName>
    <definedName name="LastDayOfMonth_Week" localSheetId="6">DAY(EOMONTH(DATE(#REF!,アイテラス!WkMonthNum,1),0))</definedName>
    <definedName name="MoMonth" localSheetId="6">#REF!</definedName>
    <definedName name="MoMonthNum" localSheetId="6">MONTH(DATEVALUE(アイテラス!MoMonth&amp;"/1"))</definedName>
    <definedName name="MoWeek2" localSheetId="6">#REF!</definedName>
    <definedName name="MoWeek3" localSheetId="6">#REF!</definedName>
    <definedName name="MoWeek4" localSheetId="6">#REF!</definedName>
    <definedName name="MoWeek5" localSheetId="6">#REF!</definedName>
    <definedName name="MoYear" localSheetId="6">#REF!</definedName>
    <definedName name="soyokaze" localSheetId="6">LEFT(RIGHT(#REF!,3),1)</definedName>
    <definedName name="WkMonth" localSheetId="6">#REF!</definedName>
    <definedName name="WkMonthNum" localSheetId="6">MONTH(DATEVALUE(#REF!&amp;"/1"))</definedName>
    <definedName name="WkMonthView" localSheetId="6">#REF!</definedName>
    <definedName name="WkWeek" localSheetId="6">LEFT(RIGHT(#REF!,3),1)</definedName>
    <definedName name="か" localSheetId="6">#REF!</definedName>
    <definedName name="く" localSheetId="6">MAX(#REF!)</definedName>
    <definedName name="四宮" localSheetId="6">MAX(#REF!)</definedName>
    <definedName name="大我" localSheetId="6">#REF!</definedName>
    <definedName name="_xlnm.Print_Area" localSheetId="6">'アイテラス'!$A$1:$K$19</definedName>
    <definedName name="aaa" localSheetId="7">#REF!</definedName>
    <definedName name="ColumnTitle1" localSheetId="7">#REF!</definedName>
    <definedName name="LastDay_Week" localSheetId="7">MAX(#REF!)</definedName>
    <definedName name="LastDayOfMonth_Week" localSheetId="7">DAY(EOMONTH(DATE(#REF!,池袋病院!WkMonthNum,1),0))</definedName>
    <definedName name="MoMonth" localSheetId="7">#REF!</definedName>
    <definedName name="MoMonthNum" localSheetId="7">MONTH(DATEVALUE(池袋病院!MoMonth&amp;"/1"))</definedName>
    <definedName name="MoWeek2" localSheetId="7">#REF!</definedName>
    <definedName name="MoWeek3" localSheetId="7">#REF!</definedName>
    <definedName name="MoWeek4" localSheetId="7">#REF!</definedName>
    <definedName name="MoWeek5" localSheetId="7">#REF!</definedName>
    <definedName name="MoYear" localSheetId="7">#REF!</definedName>
    <definedName name="WkMonth" localSheetId="7">#REF!</definedName>
    <definedName name="WkMonthNum" localSheetId="7">MONTH(DATEVALUE(#REF!&amp;"/1"))</definedName>
    <definedName name="WkMonthView" localSheetId="7">#REF!</definedName>
    <definedName name="WkWeek" localSheetId="7">LEFT(RIGHT(#REF!,3),1)</definedName>
    <definedName name="_xlnm.Print_Area" localSheetId="7">'池袋病院'!$A$1:$J$19</definedName>
    <definedName name="_xlnm.Print_Area" localSheetId="8">'なごみ'!$A$1:$I$19</definedName>
    <definedName name="aaa" localSheetId="9">#REF!</definedName>
    <definedName name="ColumnTitle1" localSheetId="9">#REF!</definedName>
    <definedName name="LastDay_Week" localSheetId="9">MAX(#REF!)</definedName>
    <definedName name="LastDayOfMonth_Week" localSheetId="9">DAY(EOMONTH(DATE(#REF!,大和なでしこ!WkMonthNum,1),0))</definedName>
    <definedName name="MoMonth" localSheetId="9">#REF!</definedName>
    <definedName name="MoMonthNum" localSheetId="9">MONTH(DATEVALUE(大和なでしこ!MoMonth&amp;"/1"))</definedName>
    <definedName name="MoWeek2" localSheetId="9">#REF!</definedName>
    <definedName name="MoWeek3" localSheetId="9">#REF!</definedName>
    <definedName name="MoWeek4" localSheetId="9">#REF!</definedName>
    <definedName name="MoWeek5" localSheetId="9">#REF!</definedName>
    <definedName name="MoYear" localSheetId="9">#REF!</definedName>
    <definedName name="WkMonth" localSheetId="9">#REF!</definedName>
    <definedName name="WkMonthNum" localSheetId="9">MONTH(DATEVALUE(#REF!&amp;"/1"))</definedName>
    <definedName name="WkMonthView" localSheetId="9">#REF!</definedName>
    <definedName name="WkWeek" localSheetId="9">LEFT(RIGHT(#REF!,3),1)</definedName>
    <definedName name="_xlnm.Print_Area" localSheetId="9">'大和なでしこ'!$A$1:$J$19</definedName>
    <definedName name="aaa" localSheetId="10">#REF!</definedName>
    <definedName name="ColumnTitle1" localSheetId="10">#REF!</definedName>
    <definedName name="ＫＨＡＮ" localSheetId="10">#REF!</definedName>
    <definedName name="LastDay_Week" localSheetId="10">MAX(#REF!)</definedName>
    <definedName name="LastDayOfMonth_Week" localSheetId="10">DAY(EOMONTH(DATE(#REF!,百々家!WkMonthNum,1),0))</definedName>
    <definedName name="MoMonth" localSheetId="10">#REF!</definedName>
    <definedName name="MoMonthNum" localSheetId="10">MONTH(DATEVALUE(百々家!MoMonth&amp;"/1"))</definedName>
    <definedName name="MoWeek2" localSheetId="10">#REF!</definedName>
    <definedName name="MoWeek3" localSheetId="10">#REF!</definedName>
    <definedName name="MoWeek4" localSheetId="10">#REF!</definedName>
    <definedName name="MoWeek5" localSheetId="10">#REF!</definedName>
    <definedName name="MoYear" localSheetId="10">#REF!</definedName>
    <definedName name="soyokaze" localSheetId="10">LEFT(RIGHT(#REF!,3),1)</definedName>
    <definedName name="WkMonth" localSheetId="10">#REF!</definedName>
    <definedName name="WkMonthNum" localSheetId="10">MONTH(DATEVALUE(#REF!&amp;"/1"))</definedName>
    <definedName name="WkMonthView" localSheetId="10">#REF!</definedName>
    <definedName name="WkWeek" localSheetId="10">LEFT(RIGHT(#REF!,3),1)</definedName>
    <definedName name="か" localSheetId="10">#REF!</definedName>
    <definedName name="く" localSheetId="10">MAX(#REF!)</definedName>
    <definedName name="四宮" localSheetId="10">MAX(#REF!)</definedName>
    <definedName name="大我" localSheetId="10">#REF!</definedName>
    <definedName name="_xlnm.Print_Area" localSheetId="10">'百々家'!$A$1:$J$19</definedName>
    <definedName name="aaa" localSheetId="11">#REF!</definedName>
    <definedName name="ColumnTitle1" localSheetId="11">#REF!</definedName>
    <definedName name="ＫＨＡＮ" localSheetId="11">#REF!</definedName>
    <definedName name="LastDay_Week" localSheetId="11">MAX(#REF!)</definedName>
    <definedName name="LastDayOfMonth_Week" localSheetId="11">DAY(EOMONTH(DATE(#REF!,春日苑!WkMonthNum,1),0))</definedName>
    <definedName name="MoMonth" localSheetId="11">#REF!</definedName>
    <definedName name="MoMonthNum" localSheetId="11">MONTH(DATEVALUE(春日苑!MoMonth&amp;"/1"))</definedName>
    <definedName name="MoWeek2" localSheetId="11">#REF!</definedName>
    <definedName name="MoWeek3" localSheetId="11">#REF!</definedName>
    <definedName name="MoWeek4" localSheetId="11">#REF!</definedName>
    <definedName name="MoWeek5" localSheetId="11">#REF!</definedName>
    <definedName name="MoYear" localSheetId="11">#REF!</definedName>
    <definedName name="soyokaze" localSheetId="11">LEFT(RIGHT(#REF!,3),1)</definedName>
    <definedName name="WkMonth" localSheetId="11">#REF!</definedName>
    <definedName name="WkMonthNum" localSheetId="11">MONTH(DATEVALUE(#REF!&amp;"/1"))</definedName>
    <definedName name="WkMonthView" localSheetId="11">#REF!</definedName>
    <definedName name="WkWeek" localSheetId="11">LEFT(RIGHT(#REF!,3),1)</definedName>
    <definedName name="か" localSheetId="11">#REF!</definedName>
    <definedName name="く" localSheetId="11">MAX(#REF!)</definedName>
    <definedName name="佐古" localSheetId="11">#REF!</definedName>
    <definedName name="佐古2" localSheetId="11">MONTH(DATEVALUE(MoMonth&amp;"/1"))</definedName>
    <definedName name="佐古5" localSheetId="11">#REF!</definedName>
    <definedName name="四宮" localSheetId="11">MAX(#REF!)</definedName>
    <definedName name="春日" localSheetId="11">#REF!</definedName>
    <definedName name="春日苑" localSheetId="11">#REF!</definedName>
    <definedName name="春日苑2" localSheetId="11">#REF!</definedName>
    <definedName name="春日苑5" localSheetId="11">#REF!</definedName>
    <definedName name="大我" localSheetId="11">#REF!</definedName>
    <definedName name="_xlnm.Print_Area" localSheetId="11">'春日苑'!$A$1:$M$19</definedName>
    <definedName name="aaa" localSheetId="12">#REF!</definedName>
    <definedName name="ColumnTitle1" localSheetId="12">#REF!</definedName>
    <definedName name="ＫＨＡＮ" localSheetId="12">#REF!</definedName>
    <definedName name="LastDay_Week" localSheetId="12">MAX(#REF!)</definedName>
    <definedName name="LastDayOfMonth_Week" localSheetId="12">DAY(EOMONTH(DATE(#REF!,ふれあいの丘!WkMonthNum,1),0))</definedName>
    <definedName name="MoMonth" localSheetId="12">#REF!</definedName>
    <definedName name="MoMonthNum" localSheetId="12">MONTH(DATEVALUE(ふれあいの丘!MoMonth&amp;"/1"))</definedName>
    <definedName name="MoWeek2" localSheetId="12">#REF!</definedName>
    <definedName name="MoWeek3" localSheetId="12">#REF!</definedName>
    <definedName name="MoWeek4" localSheetId="12">#REF!</definedName>
    <definedName name="MoWeek5" localSheetId="12">#REF!</definedName>
    <definedName name="MoYear" localSheetId="12">#REF!</definedName>
    <definedName name="soyokaze" localSheetId="12">LEFT(RIGHT(#REF!,3),1)</definedName>
    <definedName name="WkMonth" localSheetId="12">#REF!</definedName>
    <definedName name="WkMonthNum" localSheetId="12">MONTH(DATEVALUE(#REF!&amp;"/1"))</definedName>
    <definedName name="WkMonthView" localSheetId="12">#REF!</definedName>
    <definedName name="WkWeek" localSheetId="12">LEFT(RIGHT(#REF!,3),1)</definedName>
    <definedName name="か" localSheetId="12">#REF!</definedName>
    <definedName name="く" localSheetId="12">MAX(#REF!)</definedName>
    <definedName name="ふ" localSheetId="12">MONTH(DATEVALUE(#REF!&amp;"/1"))</definedName>
    <definedName name="ふれあい" localSheetId="12">#REF!</definedName>
    <definedName name="れ" localSheetId="12">LEFT(RIGHT(#REF!,3),1)</definedName>
    <definedName name="佐古" localSheetId="12">#REF!</definedName>
    <definedName name="佐古2" localSheetId="12">MONTH(DATEVALUE(MoMonth&amp;"/1"))</definedName>
    <definedName name="佐古5" localSheetId="12">#REF!</definedName>
    <definedName name="四宮" localSheetId="12">MAX(#REF!)</definedName>
    <definedName name="春日" localSheetId="12">#REF!</definedName>
    <definedName name="春日苑" localSheetId="12">#REF!</definedName>
    <definedName name="春日苑2" localSheetId="12">#REF!</definedName>
    <definedName name="春日苑3" localSheetId="12">MONTH(DATEVALUE(MoMonth&amp;"/1"))</definedName>
    <definedName name="春日苑5" localSheetId="12">#REF!</definedName>
    <definedName name="大我" localSheetId="12">#REF!</definedName>
    <definedName name="aaa" localSheetId="13">#REF!</definedName>
    <definedName name="ColumnTitle1" localSheetId="13">#REF!</definedName>
    <definedName name="ＫＨＡＮ" localSheetId="13">#REF!</definedName>
    <definedName name="LastDay_Week" localSheetId="13">MAX(#REF!)</definedName>
    <definedName name="LastDayOfMonth_Week" localSheetId="13">DAY(EOMONTH(DATE(#REF!,さくら!WkMonthNum,1),0))</definedName>
    <definedName name="MoMonth" localSheetId="13">#REF!</definedName>
    <definedName name="MoMonthNum" localSheetId="13">MONTH(DATEVALUE(さくら!MoMonth&amp;"/1"))</definedName>
    <definedName name="MoWeek2" localSheetId="13">#REF!</definedName>
    <definedName name="MoWeek3" localSheetId="13">#REF!</definedName>
    <definedName name="MoWeek4" localSheetId="13">#REF!</definedName>
    <definedName name="MoWeek5" localSheetId="13">#REF!</definedName>
    <definedName name="MoYear" localSheetId="13">#REF!</definedName>
    <definedName name="soyokaze" localSheetId="13">LEFT(RIGHT(#REF!,3),1)</definedName>
    <definedName name="WkMonth" localSheetId="13">#REF!</definedName>
    <definedName name="WkMonthNum" localSheetId="13">MONTH(DATEVALUE(#REF!&amp;"/1"))</definedName>
    <definedName name="WkMonthView" localSheetId="13">#REF!</definedName>
    <definedName name="WkWeek" localSheetId="13">LEFT(RIGHT(#REF!,3),1)</definedName>
    <definedName name="あい" localSheetId="13">DAY(EOMONTH(DATE(#REF!,WkMonthNum,1),0))</definedName>
    <definedName name="お" localSheetId="13">#REF!</definedName>
    <definedName name="おか" localSheetId="13">#REF!</definedName>
    <definedName name="か" localSheetId="13">#REF!</definedName>
    <definedName name="く" localSheetId="13">MAX(#REF!)</definedName>
    <definedName name="サクラ" localSheetId="13">#REF!</definedName>
    <definedName name="さくら" localSheetId="13">#REF!</definedName>
    <definedName name="ふ" localSheetId="13">MONTH(DATEVALUE(#REF!&amp;"/1"))</definedName>
    <definedName name="ふれあい" localSheetId="13">#REF!</definedName>
    <definedName name="れ" localSheetId="13">LEFT(RIGHT(#REF!,3),1)</definedName>
    <definedName name="丘" localSheetId="13">MAX(#REF!)</definedName>
    <definedName name="佐古" localSheetId="13">#REF!</definedName>
    <definedName name="佐古2" localSheetId="13">MONTH(DATEVALUE(MoMonth&amp;"/1"))</definedName>
    <definedName name="佐古5" localSheetId="13">#REF!</definedName>
    <definedName name="四宮" localSheetId="13">MAX(#REF!)</definedName>
    <definedName name="春日" localSheetId="13">#REF!</definedName>
    <definedName name="春日苑" localSheetId="13">#REF!</definedName>
    <definedName name="春日苑2" localSheetId="13">#REF!</definedName>
    <definedName name="春日苑3" localSheetId="13">MONTH(DATEVALUE(MoMonth&amp;"/1"))</definedName>
    <definedName name="春日苑5" localSheetId="13">#REF!</definedName>
    <definedName name="大我" localSheetId="13">#REF!</definedName>
    <definedName name="aaa" localSheetId="14">#REF!</definedName>
    <definedName name="ColumnTitle1" localSheetId="14">#REF!</definedName>
    <definedName name="ＫＨＡＮ" localSheetId="14">#REF!</definedName>
    <definedName name="LastDay_Week" localSheetId="14">MAX(#REF!)</definedName>
    <definedName name="LastDayOfMonth_Week" localSheetId="14">DAY(EOMONTH(DATE(#REF!,長生苑!WkMonthNum,1),0))</definedName>
    <definedName name="MoMonth" localSheetId="14">#REF!</definedName>
    <definedName name="MoMonthNum" localSheetId="14">MONTH(DATEVALUE(長生苑!MoMonth&amp;"/1"))</definedName>
    <definedName name="MoWeek2" localSheetId="14">#REF!</definedName>
    <definedName name="MoWeek3" localSheetId="14">#REF!</definedName>
    <definedName name="MoWeek4" localSheetId="14">#REF!</definedName>
    <definedName name="MoWeek5" localSheetId="14">#REF!</definedName>
    <definedName name="MoYear" localSheetId="14">#REF!</definedName>
    <definedName name="soyokaze" localSheetId="14">LEFT(RIGHT(#REF!,3),1)</definedName>
    <definedName name="WkMonth" localSheetId="14">#REF!</definedName>
    <definedName name="WkMonthNum" localSheetId="14">MONTH(DATEVALUE(#REF!&amp;"/1"))</definedName>
    <definedName name="WkMonthView" localSheetId="14">#REF!</definedName>
    <definedName name="WkWeek" localSheetId="14">LEFT(RIGHT(#REF!,3),1)</definedName>
    <definedName name="あい" localSheetId="14">DAY(EOMONTH(DATE(#REF!,WkMonthNum,1),0))</definedName>
    <definedName name="お" localSheetId="14">#REF!</definedName>
    <definedName name="おか" localSheetId="14">#REF!</definedName>
    <definedName name="か" localSheetId="14">#REF!</definedName>
    <definedName name="く" localSheetId="14">MAX(#REF!)</definedName>
    <definedName name="サクラ" localSheetId="14">#REF!</definedName>
    <definedName name="さくら" localSheetId="14">#REF!</definedName>
    <definedName name="さくら②" localSheetId="14">#REF!</definedName>
    <definedName name="ふ" localSheetId="14">MONTH(DATEVALUE(#REF!&amp;"/1"))</definedName>
    <definedName name="ふれあい" localSheetId="14">#REF!</definedName>
    <definedName name="れ" localSheetId="14">LEFT(RIGHT(#REF!,3),1)</definedName>
    <definedName name="丘" localSheetId="14">MAX(#REF!)</definedName>
    <definedName name="佐古" localSheetId="14">#REF!</definedName>
    <definedName name="佐古2" localSheetId="14">MONTH(DATEVALUE(MoMonth&amp;"/1"))</definedName>
    <definedName name="佐古5" localSheetId="14">#REF!</definedName>
    <definedName name="四宮" localSheetId="14">MAX(#REF!)</definedName>
    <definedName name="春日" localSheetId="14">#REF!</definedName>
    <definedName name="春日苑" localSheetId="14">#REF!</definedName>
    <definedName name="春日苑2" localSheetId="14">#REF!</definedName>
    <definedName name="春日苑3" localSheetId="14">MONTH(DATEVALUE(MoMonth&amp;"/1"))</definedName>
    <definedName name="春日苑5" localSheetId="14">#REF!</definedName>
    <definedName name="大我" localSheetId="14">#REF!</definedName>
    <definedName name="_xlnm.Print_Area" localSheetId="14">'長生苑'!$A$1:$J$19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m/d;@"/>
  </numFmts>
  <fonts count="3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3"/>
      <b val="1"/>
      <sz val="18"/>
      <scheme val="minor"/>
    </font>
    <font>
      <name val="游ゴシック"/>
      <charset val="128"/>
      <family val="3"/>
      <sz val="18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color theme="1"/>
      <sz val="9"/>
      <scheme val="minor"/>
    </font>
    <font>
      <name val="游ゴシック"/>
      <charset val="128"/>
      <family val="3"/>
      <b val="1"/>
      <color theme="1"/>
      <sz val="24"/>
      <scheme val="minor"/>
    </font>
    <font>
      <name val="ＭＳ ゴシック"/>
      <charset val="128"/>
      <family val="3"/>
      <sz val="6"/>
    </font>
    <font>
      <name val="游ゴシック"/>
      <charset val="128"/>
      <family val="3"/>
      <color theme="1"/>
      <sz val="18"/>
      <scheme val="minor"/>
    </font>
    <font>
      <name val="BIZ UDP明朝 Medium"/>
      <charset val="128"/>
      <family val="1"/>
      <b val="1"/>
      <color rgb="FF000000"/>
      <sz val="26"/>
    </font>
    <font>
      <name val="游ゴシック"/>
      <charset val="128"/>
      <family val="3"/>
      <sz val="6"/>
      <scheme val="minor"/>
    </font>
    <font>
      <name val="游ゴシック"/>
      <charset val="128"/>
      <family val="3"/>
      <b val="1"/>
      <color theme="1"/>
      <sz val="22"/>
      <scheme val="minor"/>
    </font>
    <font>
      <name val="游ゴシック"/>
      <charset val="128"/>
      <family val="3"/>
      <b val="1"/>
      <color theme="1"/>
      <sz val="10"/>
      <scheme val="minor"/>
    </font>
    <font>
      <name val="游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sz val="6"/>
    </font>
    <font>
      <name val="游ゴシック"/>
      <charset val="128"/>
      <family val="3"/>
      <b val="1"/>
      <color theme="1"/>
      <sz val="16"/>
      <u val="single"/>
      <scheme val="minor"/>
    </font>
    <font>
      <name val="游ゴシック"/>
      <charset val="128"/>
      <family val="3"/>
      <b val="1"/>
      <sz val="26"/>
      <scheme val="minor"/>
    </font>
    <font>
      <name val="游ゴシック"/>
      <charset val="128"/>
      <family val="3"/>
      <sz val="24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rgb="FF222222"/>
      <sz val="18"/>
      <scheme val="minor"/>
    </font>
    <font>
      <name val="游ゴシック"/>
      <charset val="128"/>
      <family val="3"/>
      <b val="1"/>
      <color rgb="FF222222"/>
      <sz val="10"/>
      <scheme val="minor"/>
    </font>
    <font>
      <name val="Arial"/>
      <family val="2"/>
      <b val="1"/>
      <color rgb="FF222222"/>
      <sz val="10"/>
    </font>
    <font>
      <name val="ＭＳ Ｐゴシック"/>
      <charset val="128"/>
      <family val="3"/>
      <b val="1"/>
      <color rgb="FF222222"/>
      <sz val="10"/>
    </font>
    <font>
      <name val="Arial"/>
      <family val="2"/>
      <b val="1"/>
      <color rgb="FF222222"/>
      <sz val="10.5"/>
    </font>
    <font>
      <name val="ＭＳ Ｐゴシック"/>
      <charset val="128"/>
      <family val="3"/>
      <b val="1"/>
      <color rgb="FF222222"/>
      <sz val="10.5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3"/>
      <b val="1"/>
      <color theme="1"/>
      <sz val="20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1" fillId="0" borderId="0" applyAlignment="1">
      <alignment vertical="center"/>
    </xf>
    <xf numFmtId="0" fontId="5" fillId="0" borderId="0" applyAlignment="1">
      <alignment vertical="center"/>
    </xf>
    <xf numFmtId="0" fontId="1" fillId="0" borderId="0" applyAlignment="1">
      <alignment vertical="center"/>
    </xf>
  </cellStyleXfs>
  <cellXfs count="365">
    <xf numFmtId="0" fontId="0" fillId="0" borderId="0" applyAlignment="1" pivotButton="0" quotePrefix="0" xfId="0">
      <alignment vertical="center"/>
    </xf>
    <xf numFmtId="0" fontId="8" fillId="0" borderId="0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 textRotation="255" shrinkToFit="1"/>
    </xf>
    <xf numFmtId="0" fontId="11" fillId="0" borderId="20" applyAlignment="1" pivotButton="0" quotePrefix="0" xfId="1">
      <alignment horizontal="center" vertical="center"/>
    </xf>
    <xf numFmtId="0" fontId="11" fillId="2" borderId="5" applyAlignment="1" pivotButton="0" quotePrefix="0" xfId="1">
      <alignment horizontal="center" vertical="center"/>
    </xf>
    <xf numFmtId="0" fontId="6" fillId="0" borderId="21" applyAlignment="1" pivotButton="0" quotePrefix="0" xfId="1">
      <alignment vertical="center" shrinkToFit="1"/>
    </xf>
    <xf numFmtId="0" fontId="6" fillId="0" borderId="22" applyAlignment="1" pivotButton="0" quotePrefix="0" xfId="1">
      <alignment vertical="center" shrinkToFit="1"/>
    </xf>
    <xf numFmtId="0" fontId="11" fillId="0" borderId="25" applyAlignment="1" pivotButton="0" quotePrefix="0" xfId="1">
      <alignment horizontal="center" vertical="center"/>
    </xf>
    <xf numFmtId="0" fontId="11" fillId="2" borderId="26" applyAlignment="1" pivotButton="0" quotePrefix="0" xfId="1">
      <alignment horizontal="center" vertical="center"/>
    </xf>
    <xf numFmtId="0" fontId="6" fillId="0" borderId="28" applyAlignment="1" pivotButton="0" quotePrefix="0" xfId="1">
      <alignment vertical="center" shrinkToFit="1"/>
    </xf>
    <xf numFmtId="0" fontId="6" fillId="0" borderId="29" applyAlignment="1" pivotButton="0" quotePrefix="0" xfId="1">
      <alignment vertical="center" shrinkToFit="1"/>
    </xf>
    <xf numFmtId="0" fontId="11" fillId="0" borderId="31" applyAlignment="1" pivotButton="0" quotePrefix="0" xfId="1">
      <alignment horizontal="center" vertical="center"/>
    </xf>
    <xf numFmtId="0" fontId="11" fillId="2" borderId="32" applyAlignment="1" pivotButton="0" quotePrefix="0" xfId="1">
      <alignment horizontal="center" vertical="center"/>
    </xf>
    <xf numFmtId="0" fontId="11" fillId="2" borderId="10" applyAlignment="1" pivotButton="0" quotePrefix="0" xfId="1">
      <alignment horizontal="center" vertical="center"/>
    </xf>
    <xf numFmtId="0" fontId="6" fillId="0" borderId="34" applyAlignment="1" pivotButton="0" quotePrefix="0" xfId="1">
      <alignment vertical="center" shrinkToFit="1"/>
    </xf>
    <xf numFmtId="0" fontId="11" fillId="2" borderId="25" applyAlignment="1" pivotButton="0" quotePrefix="0" xfId="1">
      <alignment horizontal="center" vertical="center"/>
    </xf>
    <xf numFmtId="0" fontId="6" fillId="0" borderId="35" applyAlignment="1" pivotButton="0" quotePrefix="0" xfId="1">
      <alignment vertical="center" shrinkToFit="1"/>
    </xf>
    <xf numFmtId="0" fontId="6" fillId="0" borderId="36" applyAlignment="1" pivotButton="0" quotePrefix="0" xfId="1">
      <alignment vertical="center" shrinkToFit="1"/>
    </xf>
    <xf numFmtId="0" fontId="11" fillId="0" borderId="27" applyAlignment="1" pivotButton="0" quotePrefix="0" xfId="1">
      <alignment horizontal="center" vertical="center"/>
    </xf>
    <xf numFmtId="0" fontId="11" fillId="2" borderId="27" applyAlignment="1" pivotButton="0" quotePrefix="0" xfId="1">
      <alignment horizontal="center" vertical="center"/>
    </xf>
    <xf numFmtId="0" fontId="6" fillId="0" borderId="39" applyAlignment="1" pivotButton="0" quotePrefix="0" xfId="1">
      <alignment vertical="center" shrinkToFit="1"/>
    </xf>
    <xf numFmtId="0" fontId="6" fillId="0" borderId="40" applyAlignment="1" pivotButton="0" quotePrefix="0" xfId="1">
      <alignment vertical="center" shrinkToFit="1"/>
    </xf>
    <xf numFmtId="0" fontId="11" fillId="2" borderId="31" applyAlignment="1" pivotButton="0" quotePrefix="0" xfId="1">
      <alignment horizontal="center" vertical="center"/>
    </xf>
    <xf numFmtId="0" fontId="11" fillId="2" borderId="41" applyAlignment="1" pivotButton="0" quotePrefix="0" xfId="1">
      <alignment horizontal="center" vertical="center"/>
    </xf>
    <xf numFmtId="0" fontId="11" fillId="2" borderId="17" applyAlignment="1" pivotButton="0" quotePrefix="0" xfId="1">
      <alignment horizontal="center" vertical="center"/>
    </xf>
    <xf numFmtId="0" fontId="6" fillId="0" borderId="44" applyAlignment="1" pivotButton="0" quotePrefix="0" xfId="1">
      <alignment vertical="center" shrinkToFit="1"/>
    </xf>
    <xf numFmtId="0" fontId="6" fillId="0" borderId="45" applyAlignment="1" pivotButton="0" quotePrefix="0" xfId="1">
      <alignment vertical="center" shrinkToFit="1"/>
    </xf>
    <xf numFmtId="0" fontId="3" fillId="0" borderId="0" applyAlignment="1" pivotButton="0" quotePrefix="0" xfId="1">
      <alignment horizontal="center" vertical="center"/>
    </xf>
    <xf numFmtId="0" fontId="7" fillId="0" borderId="2" applyAlignment="1" pivotButton="0" quotePrefix="0" xfId="1">
      <alignment horizontal="left" vertical="center"/>
    </xf>
    <xf numFmtId="0" fontId="3" fillId="0" borderId="0" applyAlignment="1" pivotButton="0" quotePrefix="0" xfId="1">
      <alignment horizontal="center" vertical="center" textRotation="255" shrinkToFit="1"/>
    </xf>
    <xf numFmtId="0" fontId="7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0" fontId="15" fillId="0" borderId="0" applyAlignment="1" pivotButton="0" quotePrefix="0" xfId="1">
      <alignment horizontal="center"/>
    </xf>
    <xf numFmtId="0" fontId="16" fillId="0" borderId="0" applyAlignment="1" pivotButton="0" quotePrefix="0" xfId="1">
      <alignment horizontal="center" vertical="center" shrinkToFit="1"/>
    </xf>
    <xf numFmtId="0" fontId="15" fillId="0" borderId="2" applyAlignment="1" pivotButton="0" quotePrefix="0" xfId="1">
      <alignment horizontal="center"/>
    </xf>
    <xf numFmtId="0" fontId="16" fillId="0" borderId="2" applyAlignment="1" pivotButton="0" quotePrefix="0" xfId="1">
      <alignment horizontal="center" vertical="center" shrinkToFit="1"/>
    </xf>
    <xf numFmtId="0" fontId="8" fillId="0" borderId="0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 shrinkToFit="1"/>
    </xf>
    <xf numFmtId="0" fontId="7" fillId="0" borderId="0" applyAlignment="1" pivotButton="0" quotePrefix="0" xfId="1">
      <alignment horizontal="left" vertical="center"/>
    </xf>
    <xf numFmtId="0" fontId="11" fillId="0" borderId="17" applyAlignment="1" pivotButton="0" quotePrefix="0" xfId="1">
      <alignment horizontal="center" vertical="center"/>
    </xf>
    <xf numFmtId="0" fontId="18" fillId="0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11" fillId="0" borderId="17" applyAlignment="1" pivotButton="0" quotePrefix="0" xfId="1">
      <alignment horizontal="center" vertical="center"/>
    </xf>
    <xf numFmtId="0" fontId="7" fillId="0" borderId="0" applyAlignment="1" pivotButton="0" quotePrefix="0" xfId="1">
      <alignment vertical="center"/>
    </xf>
    <xf numFmtId="0" fontId="14" fillId="0" borderId="0" applyAlignment="1" pivotButton="0" quotePrefix="0" xfId="1">
      <alignment horizontal="center" vertical="center" wrapText="1"/>
    </xf>
    <xf numFmtId="0" fontId="18" fillId="0" borderId="0" applyAlignment="1" pivotButton="0" quotePrefix="0" xfId="1">
      <alignment horizontal="left" vertical="center" wrapText="1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12" fillId="0" borderId="0" applyAlignment="1" pivotButton="0" quotePrefix="0" xfId="1">
      <alignment vertical="center"/>
    </xf>
    <xf numFmtId="0" fontId="19" fillId="0" borderId="0" applyAlignment="1" pivotButton="0" quotePrefix="0" xfId="1">
      <alignment vertical="center"/>
    </xf>
    <xf numFmtId="0" fontId="11" fillId="0" borderId="17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center"/>
    </xf>
    <xf numFmtId="0" fontId="18" fillId="0" borderId="0" applyAlignment="1" pivotButton="0" quotePrefix="0" xfId="1">
      <alignment horizontal="left" vertical="center" wrapText="1"/>
    </xf>
    <xf numFmtId="0" fontId="21" fillId="0" borderId="0" applyAlignment="1" pivotButton="0" quotePrefix="0" xfId="1">
      <alignment horizontal="center" vertical="center" wrapText="1"/>
    </xf>
    <xf numFmtId="0" fontId="11" fillId="0" borderId="32" applyAlignment="1" pivotButton="0" quotePrefix="0" xfId="1">
      <alignment horizontal="center" vertical="center"/>
    </xf>
    <xf numFmtId="0" fontId="11" fillId="0" borderId="26" applyAlignment="1" pivotButton="0" quotePrefix="0" xfId="1">
      <alignment horizontal="center" vertical="center"/>
    </xf>
    <xf numFmtId="0" fontId="11" fillId="0" borderId="21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 shrinkToFit="1"/>
    </xf>
    <xf numFmtId="0" fontId="18" fillId="0" borderId="0" applyAlignment="1" pivotButton="0" quotePrefix="0" xfId="1">
      <alignment horizontal="left" vertical="center" wrapText="1"/>
    </xf>
    <xf numFmtId="0" fontId="11" fillId="0" borderId="5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18" fillId="0" borderId="0" applyAlignment="1" pivotButton="0" quotePrefix="0" xfId="1">
      <alignment horizontal="left" vertical="center" wrapText="1"/>
    </xf>
    <xf numFmtId="0" fontId="11" fillId="0" borderId="17" applyAlignment="1" pivotButton="0" quotePrefix="0" xfId="1">
      <alignment horizontal="center" vertical="center" shrinkToFit="1"/>
    </xf>
    <xf numFmtId="0" fontId="11" fillId="0" borderId="17" applyAlignment="1" pivotButton="0" quotePrefix="0" xfId="1">
      <alignment horizontal="center" vertical="center"/>
    </xf>
    <xf numFmtId="0" fontId="6" fillId="0" borderId="0" applyAlignment="1" pivotButton="0" quotePrefix="0" xfId="1">
      <alignment vertical="center"/>
    </xf>
    <xf numFmtId="0" fontId="18" fillId="0" borderId="0" applyAlignment="1" pivotButton="0" quotePrefix="0" xfId="1">
      <alignment horizontal="left" vertical="center" wrapText="1"/>
    </xf>
    <xf numFmtId="0" fontId="11" fillId="0" borderId="5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18" fillId="0" borderId="0" applyAlignment="1" pivotButton="0" quotePrefix="0" xfId="1">
      <alignment horizontal="left" vertical="center" wrapText="1"/>
    </xf>
    <xf numFmtId="0" fontId="11" fillId="0" borderId="5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14" fillId="0" borderId="0" applyAlignment="1" pivotButton="0" quotePrefix="0" xfId="1">
      <alignment vertical="center" wrapText="1"/>
    </xf>
    <xf numFmtId="0" fontId="21" fillId="0" borderId="0" applyAlignment="1" pivotButton="0" quotePrefix="0" xfId="1">
      <alignment vertical="center" wrapText="1"/>
    </xf>
    <xf numFmtId="0" fontId="28" fillId="0" borderId="48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18" fillId="0" borderId="0" applyAlignment="1" pivotButton="0" quotePrefix="0" xfId="1">
      <alignment horizontal="left" vertical="center" wrapText="1"/>
    </xf>
    <xf numFmtId="0" fontId="11" fillId="0" borderId="5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6" fillId="0" borderId="26" applyAlignment="1" pivotButton="0" quotePrefix="0" xfId="1">
      <alignment vertical="center"/>
    </xf>
    <xf numFmtId="0" fontId="11" fillId="0" borderId="17" applyAlignment="1" pivotButton="0" quotePrefix="0" xfId="1">
      <alignment horizontal="center" vertical="center"/>
    </xf>
    <xf numFmtId="0" fontId="28" fillId="0" borderId="49" applyAlignment="1" pivotButton="0" quotePrefix="0" xfId="1">
      <alignment horizontal="center" vertical="center"/>
    </xf>
    <xf numFmtId="0" fontId="11" fillId="0" borderId="39" applyAlignment="1" pivotButton="0" quotePrefix="0" xfId="1">
      <alignment horizontal="center" vertical="center" shrinkToFit="1"/>
    </xf>
    <xf numFmtId="0" fontId="5" fillId="0" borderId="30" applyAlignment="1" pivotButton="0" quotePrefix="0" xfId="1">
      <alignment horizontal="center" vertical="center"/>
    </xf>
    <xf numFmtId="0" fontId="5" fillId="0" borderId="37" applyAlignment="1" pivotButton="0" quotePrefix="0" xfId="1">
      <alignment horizontal="center" vertical="center"/>
    </xf>
    <xf numFmtId="0" fontId="5" fillId="0" borderId="43" applyAlignment="1" pivotButton="0" quotePrefix="0" xfId="1">
      <alignment horizontal="center" vertical="center"/>
    </xf>
    <xf numFmtId="0" fontId="5" fillId="0" borderId="19" applyAlignment="1" pivotButton="0" quotePrefix="0" xfId="1">
      <alignment horizontal="center" vertical="center"/>
    </xf>
    <xf numFmtId="0" fontId="5" fillId="0" borderId="24" applyAlignment="1" pivotButton="0" quotePrefix="0" xfId="1">
      <alignment horizontal="center" vertical="center"/>
    </xf>
    <xf numFmtId="0" fontId="5" fillId="0" borderId="38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18" fillId="0" borderId="0" applyAlignment="1" pivotButton="0" quotePrefix="0" xfId="1">
      <alignment horizontal="left" vertical="center" wrapText="1"/>
    </xf>
    <xf numFmtId="0" fontId="11" fillId="0" borderId="17" applyAlignment="1" pivotButton="0" quotePrefix="0" xfId="1">
      <alignment horizontal="center" vertical="center" shrinkToFit="1"/>
    </xf>
    <xf numFmtId="0" fontId="6" fillId="2" borderId="10" applyAlignment="1" pivotButton="0" quotePrefix="0" xfId="1">
      <alignment horizontal="center" vertical="center"/>
    </xf>
    <xf numFmtId="0" fontId="11" fillId="0" borderId="10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6" fillId="0" borderId="46" applyAlignment="1" pivotButton="0" quotePrefix="0" xfId="1">
      <alignment vertical="center" shrinkToFit="1"/>
    </xf>
    <xf numFmtId="0" fontId="6" fillId="0" borderId="49" applyAlignment="1" pivotButton="0" quotePrefix="0" xfId="1">
      <alignment vertical="center" shrinkToFit="1"/>
    </xf>
    <xf numFmtId="0" fontId="6" fillId="0" borderId="53" applyAlignment="1" pivotButton="0" quotePrefix="0" xfId="1">
      <alignment vertical="center" shrinkToFit="1"/>
    </xf>
    <xf numFmtId="0" fontId="11" fillId="2" borderId="25" applyAlignment="1" pivotButton="0" quotePrefix="0" xfId="1">
      <alignment horizontal="center" vertical="center" shrinkToFit="1"/>
    </xf>
    <xf numFmtId="0" fontId="11" fillId="2" borderId="10" applyAlignment="1" pivotButton="0" quotePrefix="0" xfId="1">
      <alignment horizontal="center" vertical="center" shrinkToFit="1"/>
    </xf>
    <xf numFmtId="0" fontId="28" fillId="0" borderId="0" applyAlignment="1" pivotButton="0" quotePrefix="0" xfId="1">
      <alignment horizontal="center" vertical="center" shrinkToFit="1"/>
    </xf>
    <xf numFmtId="0" fontId="28" fillId="0" borderId="47" applyAlignment="1" pivotButton="0" quotePrefix="0" xfId="1">
      <alignment horizontal="center" vertical="center" shrinkToFit="1"/>
    </xf>
    <xf numFmtId="0" fontId="11" fillId="2" borderId="32" applyAlignment="1" pivotButton="0" quotePrefix="0" xfId="1">
      <alignment horizontal="center" vertical="center" shrinkToFit="1"/>
    </xf>
    <xf numFmtId="0" fontId="30" fillId="0" borderId="0" applyAlignment="1" pivotButton="0" quotePrefix="0" xfId="1">
      <alignment horizontal="center"/>
    </xf>
    <xf numFmtId="0" fontId="16" fillId="0" borderId="0" applyAlignment="1" pivotButton="0" quotePrefix="0" xfId="1">
      <alignment horizontal="center"/>
    </xf>
    <xf numFmtId="0" fontId="11" fillId="2" borderId="41" applyAlignment="1" pivotButton="0" quotePrefix="0" xfId="1">
      <alignment horizontal="center" vertical="center" shrinkToFit="1"/>
    </xf>
    <xf numFmtId="0" fontId="28" fillId="0" borderId="48" applyAlignment="1" pivotButton="0" quotePrefix="0" xfId="1">
      <alignment horizontal="center" vertical="center" shrinkToFit="1"/>
    </xf>
    <xf numFmtId="0" fontId="28" fillId="0" borderId="2" applyAlignment="1" pivotButton="0" quotePrefix="0" xfId="1">
      <alignment horizontal="center" vertical="center" shrinkToFit="1"/>
    </xf>
    <xf numFmtId="0" fontId="5" fillId="0" borderId="30" applyAlignment="1" pivotButton="0" quotePrefix="0" xfId="1">
      <alignment horizontal="center" vertical="center"/>
    </xf>
    <xf numFmtId="0" fontId="5" fillId="0" borderId="37" applyAlignment="1" pivotButton="0" quotePrefix="0" xfId="1">
      <alignment horizontal="center" vertical="center"/>
    </xf>
    <xf numFmtId="0" fontId="5" fillId="0" borderId="43" applyAlignment="1" pivotButton="0" quotePrefix="0" xfId="1">
      <alignment horizontal="center" vertical="center"/>
    </xf>
    <xf numFmtId="0" fontId="5" fillId="0" borderId="19" applyAlignment="1" pivotButton="0" quotePrefix="0" xfId="1">
      <alignment horizontal="center" vertical="center"/>
    </xf>
    <xf numFmtId="0" fontId="5" fillId="0" borderId="24" applyAlignment="1" pivotButton="0" quotePrefix="0" xfId="1">
      <alignment horizontal="center" vertical="center"/>
    </xf>
    <xf numFmtId="0" fontId="5" fillId="0" borderId="38" applyAlignment="1" pivotButton="0" quotePrefix="0" xfId="1">
      <alignment horizontal="center" vertical="center"/>
    </xf>
    <xf numFmtId="0" fontId="11" fillId="2" borderId="5" applyAlignment="1" pivotButton="0" quotePrefix="0" xfId="1">
      <alignment horizontal="center" vertical="center" shrinkToFit="1"/>
    </xf>
    <xf numFmtId="0" fontId="11" fillId="2" borderId="26" applyAlignment="1" pivotButton="0" quotePrefix="0" xfId="1">
      <alignment horizontal="center" vertical="center" shrinkToFit="1"/>
    </xf>
    <xf numFmtId="0" fontId="11" fillId="2" borderId="27" applyAlignment="1" pivotButton="0" quotePrefix="0" xfId="1">
      <alignment horizontal="center" vertical="center" shrinkToFit="1"/>
    </xf>
    <xf numFmtId="0" fontId="11" fillId="2" borderId="31" applyAlignment="1" pivotButton="0" quotePrefix="0" xfId="1">
      <alignment horizontal="center" vertical="center" shrinkToFit="1"/>
    </xf>
    <xf numFmtId="0" fontId="11" fillId="2" borderId="17" applyAlignment="1" pivotButton="0" quotePrefix="0" xfId="1">
      <alignment horizontal="center" vertical="center" shrinkToFit="1"/>
    </xf>
    <xf numFmtId="0" fontId="28" fillId="0" borderId="46" applyAlignment="1" pivotButton="0" quotePrefix="0" xfId="1">
      <alignment horizontal="center" vertical="center" shrinkToFit="1"/>
    </xf>
    <xf numFmtId="0" fontId="28" fillId="0" borderId="49" applyAlignment="1" pivotButton="0" quotePrefix="0" xfId="1">
      <alignment horizontal="center" vertical="center" shrinkToFit="1"/>
    </xf>
    <xf numFmtId="0" fontId="9" fillId="0" borderId="0" applyAlignment="1" pivotButton="0" quotePrefix="0" xfId="1">
      <alignment vertical="center"/>
    </xf>
    <xf numFmtId="0" fontId="18" fillId="0" borderId="0" applyAlignment="1" pivotButton="0" quotePrefix="0" xfId="1">
      <alignment horizontal="left" vertical="center" wrapText="1"/>
    </xf>
    <xf numFmtId="0" fontId="11" fillId="0" borderId="34" applyAlignment="1" pivotButton="0" quotePrefix="0" xfId="1">
      <alignment horizontal="center" vertical="center" shrinkToFit="1"/>
    </xf>
    <xf numFmtId="0" fontId="5" fillId="0" borderId="30" applyAlignment="1" pivotButton="0" quotePrefix="0" xfId="1">
      <alignment horizontal="center" vertical="center"/>
    </xf>
    <xf numFmtId="0" fontId="5" fillId="0" borderId="37" applyAlignment="1" pivotButton="0" quotePrefix="0" xfId="1">
      <alignment horizontal="center" vertical="center"/>
    </xf>
    <xf numFmtId="0" fontId="5" fillId="0" borderId="43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5" fillId="0" borderId="19" applyAlignment="1" pivotButton="0" quotePrefix="0" xfId="1">
      <alignment horizontal="center" vertical="center"/>
    </xf>
    <xf numFmtId="0" fontId="5" fillId="0" borderId="24" applyAlignment="1" pivotButton="0" quotePrefix="0" xfId="1">
      <alignment horizontal="center" vertical="center"/>
    </xf>
    <xf numFmtId="0" fontId="5" fillId="0" borderId="38" applyAlignment="1" pivotButton="0" quotePrefix="0" xfId="1">
      <alignment horizontal="center" vertical="center"/>
    </xf>
    <xf numFmtId="164" fontId="6" fillId="0" borderId="0" applyAlignment="1" pivotButton="0" quotePrefix="0" xfId="1">
      <alignment vertical="center"/>
    </xf>
    <xf numFmtId="0" fontId="5" fillId="0" borderId="30" applyAlignment="1" pivotButton="0" quotePrefix="0" xfId="1">
      <alignment horizontal="center" vertical="center"/>
    </xf>
    <xf numFmtId="0" fontId="5" fillId="0" borderId="37" applyAlignment="1" pivotButton="0" quotePrefix="0" xfId="1">
      <alignment horizontal="center" vertical="center"/>
    </xf>
    <xf numFmtId="0" fontId="5" fillId="0" borderId="43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5" fillId="0" borderId="19" applyAlignment="1" pivotButton="0" quotePrefix="0" xfId="1">
      <alignment horizontal="center" vertical="center"/>
    </xf>
    <xf numFmtId="0" fontId="5" fillId="0" borderId="24" applyAlignment="1" pivotButton="0" quotePrefix="0" xfId="1">
      <alignment horizontal="center" vertical="center"/>
    </xf>
    <xf numFmtId="0" fontId="5" fillId="0" borderId="38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18" fillId="0" borderId="0" applyAlignment="1" pivotButton="0" quotePrefix="0" xfId="1">
      <alignment horizontal="left" vertical="center" wrapText="1"/>
    </xf>
    <xf numFmtId="0" fontId="11" fillId="0" borderId="5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18" fillId="0" borderId="0" applyAlignment="1" pivotButton="0" quotePrefix="0" xfId="1">
      <alignment horizontal="left" vertical="center" wrapText="1"/>
    </xf>
    <xf numFmtId="0" fontId="6" fillId="0" borderId="35" applyAlignment="1" pivotButton="0" quotePrefix="0" xfId="1">
      <alignment vertical="center"/>
    </xf>
    <xf numFmtId="0" fontId="5" fillId="0" borderId="30" applyAlignment="1" pivotButton="0" quotePrefix="0" xfId="1">
      <alignment horizontal="center" vertical="center"/>
    </xf>
    <xf numFmtId="0" fontId="5" fillId="0" borderId="37" applyAlignment="1" pivotButton="0" quotePrefix="0" xfId="1">
      <alignment horizontal="center" vertical="center"/>
    </xf>
    <xf numFmtId="0" fontId="5" fillId="0" borderId="43" applyAlignment="1" pivotButton="0" quotePrefix="0" xfId="1">
      <alignment horizontal="center" vertical="center"/>
    </xf>
    <xf numFmtId="0" fontId="5" fillId="0" borderId="19" applyAlignment="1" pivotButton="0" quotePrefix="0" xfId="1">
      <alignment horizontal="center" vertical="center"/>
    </xf>
    <xf numFmtId="0" fontId="5" fillId="0" borderId="24" applyAlignment="1" pivotButton="0" quotePrefix="0" xfId="1">
      <alignment horizontal="center" vertical="center"/>
    </xf>
    <xf numFmtId="0" fontId="5" fillId="0" borderId="38" applyAlignment="1" pivotButton="0" quotePrefix="0" xfId="1">
      <alignment horizontal="center" vertical="center"/>
    </xf>
    <xf numFmtId="0" fontId="6" fillId="0" borderId="33" applyAlignment="1" pivotButton="0" quotePrefix="0" xfId="1">
      <alignment vertical="center" shrinkToFit="1"/>
    </xf>
    <xf numFmtId="0" fontId="11" fillId="0" borderId="60" applyAlignment="1" pivotButton="0" quotePrefix="0" xfId="1">
      <alignment horizontal="center" vertical="center"/>
    </xf>
    <xf numFmtId="0" fontId="6" fillId="0" borderId="34" applyAlignment="1" pivotButton="0" quotePrefix="0" xfId="1">
      <alignment horizontal="center" vertical="center" shrinkToFit="1"/>
    </xf>
    <xf numFmtId="0" fontId="18" fillId="0" borderId="0" applyAlignment="1" pivotButton="0" quotePrefix="0" xfId="1">
      <alignment horizontal="left" vertical="center" wrapText="1"/>
    </xf>
    <xf numFmtId="0" fontId="11" fillId="0" borderId="5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11" fillId="0" borderId="10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11" fillId="0" borderId="61" applyAlignment="1" pivotButton="0" quotePrefix="0" xfId="1">
      <alignment horizontal="center" vertical="center" shrinkToFit="1"/>
    </xf>
    <xf numFmtId="0" fontId="9" fillId="0" borderId="0" applyAlignment="1" pivotButton="0" quotePrefix="0" xfId="1">
      <alignment vertical="center"/>
    </xf>
    <xf numFmtId="0" fontId="18" fillId="0" borderId="0" applyAlignment="1" pivotButton="0" quotePrefix="0" xfId="1">
      <alignment horizontal="left" vertical="center" wrapText="1"/>
    </xf>
    <xf numFmtId="0" fontId="11" fillId="0" borderId="5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0" fontId="5" fillId="0" borderId="19" applyAlignment="1" pivotButton="0" quotePrefix="0" xfId="1">
      <alignment horizontal="center" vertical="center"/>
    </xf>
    <xf numFmtId="0" fontId="5" fillId="0" borderId="24" applyAlignment="1" pivotButton="0" quotePrefix="0" xfId="1">
      <alignment horizontal="center" vertical="center"/>
    </xf>
    <xf numFmtId="0" fontId="5" fillId="0" borderId="30" applyAlignment="1" pivotButton="0" quotePrefix="0" xfId="1">
      <alignment horizontal="center" vertical="center"/>
    </xf>
    <xf numFmtId="0" fontId="5" fillId="0" borderId="37" applyAlignment="1" pivotButton="0" quotePrefix="0" xfId="1">
      <alignment horizontal="center" vertical="center"/>
    </xf>
    <xf numFmtId="0" fontId="5" fillId="0" borderId="38" applyAlignment="1" pivotButton="0" quotePrefix="0" xfId="1">
      <alignment horizontal="center" vertical="center"/>
    </xf>
    <xf numFmtId="0" fontId="5" fillId="0" borderId="43" applyAlignment="1" pivotButton="0" quotePrefix="0" xfId="1">
      <alignment horizontal="center" vertical="center"/>
    </xf>
    <xf numFmtId="0" fontId="6" fillId="0" borderId="44" applyAlignment="1" pivotButton="0" quotePrefix="0" xfId="1">
      <alignment vertical="center" shrinkToFit="1"/>
    </xf>
    <xf numFmtId="0" fontId="6" fillId="0" borderId="35" applyAlignment="1" pivotButton="0" quotePrefix="0" xfId="1">
      <alignment vertical="center" shrinkToFit="1"/>
    </xf>
    <xf numFmtId="0" fontId="6" fillId="0" borderId="39" applyAlignment="1" pivotButton="0" quotePrefix="0" xfId="1">
      <alignment vertical="center" shrinkToFit="1"/>
    </xf>
    <xf numFmtId="0" fontId="6" fillId="0" borderId="40" applyAlignment="1" pivotButton="0" quotePrefix="0" xfId="1">
      <alignment vertical="center" shrinkToFit="1"/>
    </xf>
    <xf numFmtId="0" fontId="6" fillId="0" borderId="23" applyAlignment="1" pivotButton="0" quotePrefix="0" xfId="1">
      <alignment horizontal="center" vertical="center" shrinkToFit="1"/>
    </xf>
    <xf numFmtId="0" fontId="6" fillId="0" borderId="42" applyAlignment="1" pivotButton="0" quotePrefix="0" xfId="1">
      <alignment horizontal="center" vertical="center" shrinkToFit="1"/>
    </xf>
    <xf numFmtId="0" fontId="5" fillId="0" borderId="30" applyAlignment="1" pivotButton="0" quotePrefix="0" xfId="1">
      <alignment horizontal="center" vertical="center"/>
    </xf>
    <xf numFmtId="0" fontId="5" fillId="0" borderId="37" applyAlignment="1" pivotButton="0" quotePrefix="0" xfId="1">
      <alignment horizontal="center" vertical="center"/>
    </xf>
    <xf numFmtId="0" fontId="5" fillId="0" borderId="43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 vertical="center" textRotation="255" shrinkToFit="1"/>
    </xf>
    <xf numFmtId="0" fontId="11" fillId="0" borderId="10" applyAlignment="1" pivotButton="0" quotePrefix="0" xfId="1">
      <alignment horizontal="center" vertical="center" textRotation="255" shrinkToFit="1"/>
    </xf>
    <xf numFmtId="0" fontId="11" fillId="0" borderId="17" applyAlignment="1" pivotButton="0" quotePrefix="0" xfId="1">
      <alignment horizontal="center" vertical="center" textRotation="255" shrinkToFit="1"/>
    </xf>
    <xf numFmtId="0" fontId="20" fillId="0" borderId="6" applyAlignment="1" pivotButton="0" quotePrefix="0" xfId="1">
      <alignment horizontal="center" vertical="center" shrinkToFit="1"/>
    </xf>
    <xf numFmtId="0" fontId="20" fillId="0" borderId="7" applyAlignment="1" pivotButton="0" quotePrefix="0" xfId="1">
      <alignment horizontal="center" vertical="center" shrinkToFit="1"/>
    </xf>
    <xf numFmtId="0" fontId="20" fillId="0" borderId="33" applyAlignment="1" pivotButton="0" quotePrefix="0" xfId="1">
      <alignment horizontal="center" vertical="center" shrinkToFit="1"/>
    </xf>
    <xf numFmtId="0" fontId="20" fillId="0" borderId="34" applyAlignment="1" pivotButton="0" quotePrefix="0" xfId="1">
      <alignment horizontal="center" vertical="center" shrinkToFit="1"/>
    </xf>
    <xf numFmtId="0" fontId="20" fillId="0" borderId="28" applyAlignment="1" pivotButton="0" quotePrefix="0" xfId="1">
      <alignment horizontal="center" vertical="center" shrinkToFit="1"/>
    </xf>
    <xf numFmtId="0" fontId="20" fillId="0" borderId="29" applyAlignment="1" pivotButton="0" quotePrefix="0" xfId="1">
      <alignment horizontal="center" vertical="center" shrinkToFit="1"/>
    </xf>
    <xf numFmtId="0" fontId="3" fillId="0" borderId="50" applyAlignment="1" pivotButton="0" quotePrefix="0" xfId="1">
      <alignment horizontal="center" vertical="center" shrinkToFit="1"/>
    </xf>
    <xf numFmtId="0" fontId="3" fillId="0" borderId="51" applyAlignment="1" pivotButton="0" quotePrefix="0" xfId="1">
      <alignment horizontal="center" vertical="center" shrinkToFit="1"/>
    </xf>
    <xf numFmtId="0" fontId="3" fillId="0" borderId="52" applyAlignment="1" pivotButton="0" quotePrefix="0" xfId="1">
      <alignment horizontal="center" vertical="center" shrinkToFit="1"/>
    </xf>
    <xf numFmtId="0" fontId="11" fillId="0" borderId="5" applyAlignment="1" pivotButton="0" quotePrefix="0" xfId="1">
      <alignment horizontal="center" vertical="center"/>
    </xf>
    <xf numFmtId="0" fontId="11" fillId="0" borderId="10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165" fontId="11" fillId="0" borderId="18" applyAlignment="1" pivotButton="0" quotePrefix="0" xfId="1">
      <alignment horizontal="center" vertical="center" shrinkToFit="1"/>
    </xf>
    <xf numFmtId="165" fontId="11" fillId="0" borderId="23" applyAlignment="1" pivotButton="0" quotePrefix="0" xfId="1">
      <alignment horizontal="center" vertical="center" shrinkToFit="1"/>
    </xf>
    <xf numFmtId="0" fontId="5" fillId="0" borderId="19" applyAlignment="1" pivotButton="0" quotePrefix="0" xfId="1">
      <alignment horizontal="center" vertical="center"/>
    </xf>
    <xf numFmtId="0" fontId="5" fillId="0" borderId="24" applyAlignment="1" pivotButton="0" quotePrefix="0" xfId="1">
      <alignment horizontal="center" vertical="center"/>
    </xf>
    <xf numFmtId="0" fontId="6" fillId="0" borderId="21" applyAlignment="1" pivotButton="0" quotePrefix="0" xfId="1">
      <alignment horizontal="left" vertical="center" shrinkToFit="1"/>
    </xf>
    <xf numFmtId="0" fontId="6" fillId="0" borderId="22" applyAlignment="1" pivotButton="0" quotePrefix="0" xfId="1">
      <alignment horizontal="left" vertical="center" shrinkToFit="1"/>
    </xf>
    <xf numFmtId="0" fontId="5" fillId="0" borderId="38" applyAlignment="1" pivotButton="0" quotePrefix="0" xfId="1">
      <alignment horizontal="center" vertical="center"/>
    </xf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1">
      <alignment vertical="center"/>
    </xf>
    <xf numFmtId="0" fontId="18" fillId="0" borderId="0" applyAlignment="1" pivotButton="0" quotePrefix="0" xfId="1">
      <alignment horizontal="left" vertical="center" wrapText="1"/>
    </xf>
    <xf numFmtId="0" fontId="14" fillId="0" borderId="6" applyAlignment="1" pivotButton="0" quotePrefix="0" xfId="1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0" fontId="14" fillId="0" borderId="7" applyAlignment="1" pivotButton="0" quotePrefix="0" xfId="1">
      <alignment horizontal="center" vertical="center" wrapText="1"/>
    </xf>
    <xf numFmtId="0" fontId="14" fillId="0" borderId="11" applyAlignment="1" pivotButton="0" quotePrefix="0" xfId="1">
      <alignment horizontal="center" vertical="center" wrapText="1"/>
    </xf>
    <xf numFmtId="0" fontId="14" fillId="0" borderId="2" applyAlignment="1" pivotButton="0" quotePrefix="0" xfId="1">
      <alignment horizontal="center" vertical="center" wrapText="1"/>
    </xf>
    <xf numFmtId="0" fontId="14" fillId="0" borderId="12" applyAlignment="1" pivotButton="0" quotePrefix="0" xfId="1">
      <alignment horizontal="center" vertical="center" wrapText="1"/>
    </xf>
    <xf numFmtId="0" fontId="3" fillId="0" borderId="3" applyAlignment="1" pivotButton="0" quotePrefix="0" xfId="1">
      <alignment horizontal="center" vertical="center" shrinkToFit="1"/>
    </xf>
    <xf numFmtId="0" fontId="3" fillId="0" borderId="8" applyAlignment="1" pivotButton="0" quotePrefix="0" xfId="1">
      <alignment horizontal="center" vertical="center" shrinkToFit="1"/>
    </xf>
    <xf numFmtId="0" fontId="3" fillId="0" borderId="13" applyAlignment="1" pivotButton="0" quotePrefix="0" xfId="1">
      <alignment horizontal="center" vertical="center" shrinkToFit="1"/>
    </xf>
    <xf numFmtId="0" fontId="3" fillId="0" borderId="15" applyAlignment="1" pivotButton="0" quotePrefix="0" xfId="1">
      <alignment horizontal="center" vertical="center" shrinkToFit="1"/>
    </xf>
    <xf numFmtId="0" fontId="3" fillId="0" borderId="4" applyAlignment="1" pivotButton="0" quotePrefix="0" xfId="1">
      <alignment horizontal="center" vertical="center" shrinkToFit="1"/>
    </xf>
    <xf numFmtId="0" fontId="3" fillId="0" borderId="9" applyAlignment="1" pivotButton="0" quotePrefix="0" xfId="1">
      <alignment horizontal="center" vertical="center" shrinkToFit="1"/>
    </xf>
    <xf numFmtId="0" fontId="3" fillId="0" borderId="14" applyAlignment="1" pivotButton="0" quotePrefix="0" xfId="1">
      <alignment horizontal="center" vertical="center" shrinkToFit="1"/>
    </xf>
    <xf numFmtId="0" fontId="3" fillId="0" borderId="16" applyAlignment="1" pivotButton="0" quotePrefix="0" xfId="1">
      <alignment horizontal="center" vertical="center" shrinkToFit="1"/>
    </xf>
    <xf numFmtId="0" fontId="31" fillId="0" borderId="5" applyAlignment="1" pivotButton="0" quotePrefix="0" xfId="1">
      <alignment horizontal="center" vertical="center" wrapText="1" shrinkToFit="1"/>
    </xf>
    <xf numFmtId="0" fontId="31" fillId="0" borderId="10" applyAlignment="1" pivotButton="0" quotePrefix="0" xfId="1">
      <alignment horizontal="center" vertical="center" shrinkToFit="1"/>
    </xf>
    <xf numFmtId="0" fontId="31" fillId="0" borderId="17" applyAlignment="1" pivotButton="0" quotePrefix="0" xfId="1">
      <alignment horizontal="center" vertical="center" shrinkToFit="1"/>
    </xf>
    <xf numFmtId="0" fontId="3" fillId="0" borderId="6" applyAlignment="1" pivotButton="0" quotePrefix="0" xfId="1">
      <alignment horizontal="center" vertical="center" shrinkToFit="1"/>
    </xf>
    <xf numFmtId="0" fontId="3" fillId="0" borderId="7" applyAlignment="1" pivotButton="0" quotePrefix="0" xfId="1">
      <alignment horizontal="center" vertical="center" shrinkToFit="1"/>
    </xf>
    <xf numFmtId="0" fontId="3" fillId="0" borderId="11" applyAlignment="1" pivotButton="0" quotePrefix="0" xfId="1">
      <alignment horizontal="center" vertical="center" shrinkToFit="1"/>
    </xf>
    <xf numFmtId="0" fontId="3" fillId="0" borderId="12" applyAlignment="1" pivotButton="0" quotePrefix="0" xfId="1">
      <alignment horizontal="center" vertical="center" shrinkToFit="1"/>
    </xf>
    <xf numFmtId="0" fontId="11" fillId="0" borderId="10" applyAlignment="1" pivotButton="0" quotePrefix="0" xfId="1">
      <alignment horizontal="center" vertical="center" shrinkToFit="1"/>
    </xf>
    <xf numFmtId="0" fontId="11" fillId="0" borderId="17" applyAlignment="1" pivotButton="0" quotePrefix="0" xfId="1">
      <alignment horizontal="center" vertical="center" shrinkToFit="1"/>
    </xf>
    <xf numFmtId="0" fontId="21" fillId="0" borderId="6" applyAlignment="1" pivotButton="0" quotePrefix="0" xfId="1">
      <alignment horizontal="center" vertical="center" wrapText="1"/>
    </xf>
    <xf numFmtId="0" fontId="21" fillId="0" borderId="1" applyAlignment="1" pivotButton="0" quotePrefix="0" xfId="1">
      <alignment horizontal="center" vertical="center" wrapText="1"/>
    </xf>
    <xf numFmtId="0" fontId="21" fillId="0" borderId="7" applyAlignment="1" pivotButton="0" quotePrefix="0" xfId="1">
      <alignment horizontal="center" vertical="center" wrapText="1"/>
    </xf>
    <xf numFmtId="0" fontId="21" fillId="0" borderId="11" applyAlignment="1" pivotButton="0" quotePrefix="0" xfId="1">
      <alignment horizontal="center" vertical="center" wrapText="1"/>
    </xf>
    <xf numFmtId="0" fontId="21" fillId="0" borderId="2" applyAlignment="1" pivotButton="0" quotePrefix="0" xfId="1">
      <alignment horizontal="center" vertical="center" wrapText="1"/>
    </xf>
    <xf numFmtId="0" fontId="21" fillId="0" borderId="12" applyAlignment="1" pivotButton="0" quotePrefix="0" xfId="1">
      <alignment horizontal="center" vertical="center" wrapText="1"/>
    </xf>
    <xf numFmtId="0" fontId="29" fillId="0" borderId="6" applyAlignment="1" pivotButton="0" quotePrefix="0" xfId="1">
      <alignment horizontal="center" vertical="center"/>
    </xf>
    <xf numFmtId="0" fontId="29" fillId="0" borderId="1" applyAlignment="1" pivotButton="0" quotePrefix="0" xfId="1">
      <alignment horizontal="center" vertical="center"/>
    </xf>
    <xf numFmtId="0" fontId="29" fillId="0" borderId="7" applyAlignment="1" pivotButton="0" quotePrefix="0" xfId="1">
      <alignment horizontal="center" vertical="center"/>
    </xf>
    <xf numFmtId="0" fontId="29" fillId="0" borderId="11" applyAlignment="1" pivotButton="0" quotePrefix="0" xfId="1">
      <alignment horizontal="center" vertical="center"/>
    </xf>
    <xf numFmtId="0" fontId="29" fillId="0" borderId="2" applyAlignment="1" pivotButton="0" quotePrefix="0" xfId="1">
      <alignment horizontal="center" vertical="center"/>
    </xf>
    <xf numFmtId="0" fontId="29" fillId="0" borderId="12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center" textRotation="255" shrinkToFit="1"/>
    </xf>
    <xf numFmtId="0" fontId="3" fillId="0" borderId="10" applyAlignment="1" pivotButton="0" quotePrefix="0" xfId="1">
      <alignment horizontal="center" vertical="center" textRotation="255" shrinkToFit="1"/>
    </xf>
    <xf numFmtId="0" fontId="3" fillId="0" borderId="17" applyAlignment="1" pivotButton="0" quotePrefix="0" xfId="1">
      <alignment horizontal="center" vertical="center" textRotation="255" shrinkToFit="1"/>
    </xf>
    <xf numFmtId="0" fontId="3" fillId="0" borderId="5" applyAlignment="1" pivotButton="0" quotePrefix="0" xfId="1">
      <alignment horizontal="center" vertical="center" shrinkToFit="1"/>
    </xf>
    <xf numFmtId="0" fontId="3" fillId="0" borderId="10" applyAlignment="1" pivotButton="0" quotePrefix="0" xfId="1">
      <alignment horizontal="center" vertical="center" shrinkToFit="1"/>
    </xf>
    <xf numFmtId="0" fontId="3" fillId="0" borderId="27" applyAlignment="1" pivotButton="0" quotePrefix="0" xfId="1">
      <alignment horizontal="center" vertical="center" shrinkToFit="1"/>
    </xf>
    <xf numFmtId="0" fontId="3" fillId="0" borderId="33" applyAlignment="1" pivotButton="0" quotePrefix="0" xfId="1">
      <alignment horizontal="center" vertical="center" shrinkToFit="1"/>
    </xf>
    <xf numFmtId="0" fontId="3" fillId="0" borderId="34" applyAlignment="1" pivotButton="0" quotePrefix="0" xfId="1">
      <alignment horizontal="center" vertical="center" shrinkToFit="1"/>
    </xf>
    <xf numFmtId="0" fontId="3" fillId="0" borderId="28" applyAlignment="1" pivotButton="0" quotePrefix="0" xfId="1">
      <alignment horizontal="center" vertical="center" shrinkToFit="1"/>
    </xf>
    <xf numFmtId="0" fontId="3" fillId="0" borderId="29" applyAlignment="1" pivotButton="0" quotePrefix="0" xfId="1">
      <alignment horizontal="center" vertical="center" shrinkToFit="1"/>
    </xf>
    <xf numFmtId="0" fontId="3" fillId="0" borderId="5" applyAlignment="1" pivotButton="0" quotePrefix="0" xfId="1">
      <alignment horizontal="center" vertical="center" wrapText="1" shrinkToFit="1"/>
    </xf>
    <xf numFmtId="0" fontId="3" fillId="0" borderId="17" applyAlignment="1" pivotButton="0" quotePrefix="0" xfId="1">
      <alignment horizontal="center" vertical="center" shrinkToFit="1"/>
    </xf>
    <xf numFmtId="0" fontId="6" fillId="0" borderId="56" applyAlignment="1" pivotButton="0" quotePrefix="0" xfId="1">
      <alignment horizontal="left" vertical="center" shrinkToFit="1"/>
    </xf>
    <xf numFmtId="0" fontId="6" fillId="0" borderId="57" applyAlignment="1" pivotButton="0" quotePrefix="0" xfId="1">
      <alignment horizontal="left" vertical="center" shrinkToFit="1"/>
    </xf>
    <xf numFmtId="0" fontId="6" fillId="0" borderId="35" applyAlignment="1" pivotButton="0" quotePrefix="0" xfId="1">
      <alignment vertical="center" shrinkToFit="1"/>
    </xf>
    <xf numFmtId="0" fontId="0" fillId="0" borderId="36" applyAlignment="1" pivotButton="0" quotePrefix="0" xfId="0">
      <alignment vertical="center" shrinkToFit="1"/>
    </xf>
    <xf numFmtId="0" fontId="14" fillId="0" borderId="6" applyAlignment="1" pivotButton="0" quotePrefix="0" xfId="1">
      <alignment horizontal="center" vertical="top" wrapText="1"/>
    </xf>
    <xf numFmtId="0" fontId="14" fillId="0" borderId="1" applyAlignment="1" pivotButton="0" quotePrefix="0" xfId="1">
      <alignment horizontal="center" vertical="top" wrapText="1"/>
    </xf>
    <xf numFmtId="0" fontId="14" fillId="0" borderId="7" applyAlignment="1" pivotButton="0" quotePrefix="0" xfId="1">
      <alignment horizontal="center" vertical="top" wrapText="1"/>
    </xf>
    <xf numFmtId="0" fontId="14" fillId="0" borderId="11" applyAlignment="1" pivotButton="0" quotePrefix="0" xfId="1">
      <alignment horizontal="center" vertical="top" wrapText="1"/>
    </xf>
    <xf numFmtId="0" fontId="14" fillId="0" borderId="2" applyAlignment="1" pivotButton="0" quotePrefix="0" xfId="1">
      <alignment horizontal="center" vertical="top" wrapText="1"/>
    </xf>
    <xf numFmtId="0" fontId="14" fillId="0" borderId="12" applyAlignment="1" pivotButton="0" quotePrefix="0" xfId="1">
      <alignment horizontal="center" vertical="top" wrapText="1"/>
    </xf>
    <xf numFmtId="0" fontId="6" fillId="0" borderId="39" applyAlignment="1" pivotButton="0" quotePrefix="0" xfId="1">
      <alignment vertical="center" shrinkToFit="1"/>
    </xf>
    <xf numFmtId="0" fontId="6" fillId="0" borderId="40" applyAlignment="1" pivotButton="0" quotePrefix="0" xfId="1">
      <alignment vertical="center" shrinkToFit="1"/>
    </xf>
    <xf numFmtId="0" fontId="3" fillId="0" borderId="1" applyAlignment="1" pivotButton="0" quotePrefix="0" xfId="1">
      <alignment horizontal="center" vertical="center" shrinkToFit="1"/>
    </xf>
    <xf numFmtId="0" fontId="0" fillId="0" borderId="7" applyAlignment="1" pivotButton="0" quotePrefix="0" xfId="0">
      <alignment horizontal="center" vertical="center" shrinkToFit="1"/>
    </xf>
    <xf numFmtId="0" fontId="3" fillId="0" borderId="0" applyAlignment="1" pivotButton="0" quotePrefix="0" xfId="1">
      <alignment horizontal="center" vertical="center" shrinkToFit="1"/>
    </xf>
    <xf numFmtId="0" fontId="0" fillId="0" borderId="34" applyAlignment="1" pivotButton="0" quotePrefix="0" xfId="0">
      <alignment horizontal="center" vertical="center" shrinkToFit="1"/>
    </xf>
    <xf numFmtId="0" fontId="11" fillId="0" borderId="5" applyAlignment="1" pivotButton="0" quotePrefix="0" xfId="1">
      <alignment horizontal="center" vertical="center" shrinkToFit="1"/>
    </xf>
    <xf numFmtId="0" fontId="6" fillId="0" borderId="54" applyAlignment="1" pivotButton="0" quotePrefix="0" xfId="1">
      <alignment vertical="center" shrinkToFit="1"/>
    </xf>
    <xf numFmtId="0" fontId="0" fillId="0" borderId="55" applyAlignment="1" pivotButton="0" quotePrefix="0" xfId="0">
      <alignment vertical="center" shrinkToFit="1"/>
    </xf>
    <xf numFmtId="0" fontId="6" fillId="0" borderId="44" applyAlignment="1" pivotButton="0" quotePrefix="0" xfId="1">
      <alignment vertical="center" shrinkToFit="1"/>
    </xf>
    <xf numFmtId="0" fontId="0" fillId="0" borderId="45" applyAlignment="1" pivotButton="0" quotePrefix="0" xfId="0">
      <alignment vertical="center" shrinkToFit="1"/>
    </xf>
    <xf numFmtId="0" fontId="2" fillId="0" borderId="5" applyAlignment="1" pivotButton="0" quotePrefix="0" xfId="1">
      <alignment horizontal="center" vertical="center" shrinkToFit="1"/>
    </xf>
    <xf numFmtId="0" fontId="2" fillId="0" borderId="10" applyAlignment="1" pivotButton="0" quotePrefix="0" xfId="1">
      <alignment horizontal="center" vertical="center" shrinkToFit="1"/>
    </xf>
    <xf numFmtId="0" fontId="2" fillId="0" borderId="17" applyAlignment="1" pivotButton="0" quotePrefix="0" xfId="1">
      <alignment horizontal="center" vertical="center" shrinkToFit="1"/>
    </xf>
    <xf numFmtId="0" fontId="6" fillId="0" borderId="56" applyAlignment="1" pivotButton="0" quotePrefix="0" xfId="1">
      <alignment vertical="center" shrinkToFit="1"/>
    </xf>
    <xf numFmtId="0" fontId="0" fillId="0" borderId="57" applyAlignment="1" pivotButton="0" quotePrefix="0" xfId="0">
      <alignment vertical="center" shrinkToFit="1"/>
    </xf>
    <xf numFmtId="0" fontId="6" fillId="0" borderId="58" applyAlignment="1" pivotButton="0" quotePrefix="0" xfId="1">
      <alignment vertical="center" shrinkToFit="1"/>
    </xf>
    <xf numFmtId="0" fontId="0" fillId="0" borderId="59" applyAlignment="1" pivotButton="0" quotePrefix="0" xfId="0">
      <alignment vertical="center" shrinkToFit="1"/>
    </xf>
    <xf numFmtId="0" fontId="0" fillId="0" borderId="33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17" applyAlignment="1" pivotButton="0" quotePrefix="0" xfId="0">
      <alignment horizontal="center" vertical="center" shrinkToFit="1"/>
    </xf>
    <xf numFmtId="0" fontId="0" fillId="0" borderId="0" pivotButton="0" quotePrefix="0" xfId="0"/>
    <xf numFmtId="0" fontId="14" fillId="0" borderId="62" applyAlignment="1" pivotButton="0" quotePrefix="0" xfId="1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12" pivotButton="0" quotePrefix="0" xfId="0"/>
    <xf numFmtId="0" fontId="0" fillId="0" borderId="65" pivotButton="0" quotePrefix="0" xfId="0"/>
    <xf numFmtId="0" fontId="3" fillId="0" borderId="71" applyAlignment="1" pivotButton="0" quotePrefix="0" xfId="1">
      <alignment horizontal="center" vertical="center" shrinkToFit="1"/>
    </xf>
    <xf numFmtId="0" fontId="3" fillId="0" borderId="62" applyAlignment="1" pivotButton="0" quotePrefix="0" xfId="1">
      <alignment horizontal="center" vertical="center" textRotation="255" shrinkToFit="1"/>
    </xf>
    <xf numFmtId="0" fontId="20" fillId="0" borderId="70" applyAlignment="1" pivotButton="0" quotePrefix="0" xfId="1">
      <alignment horizontal="center" vertical="center" shrinkToFit="1"/>
    </xf>
    <xf numFmtId="0" fontId="11" fillId="0" borderId="62" applyAlignment="1" pivotButton="0" quotePrefix="0" xfId="1">
      <alignment horizontal="center" vertical="center"/>
    </xf>
    <xf numFmtId="0" fontId="0" fillId="0" borderId="23" pivotButton="0" quotePrefix="0" xfId="0"/>
    <xf numFmtId="0" fontId="0" fillId="0" borderId="64" pivotButton="0" quotePrefix="0" xfId="0"/>
    <xf numFmtId="0" fontId="0" fillId="0" borderId="66" pivotButton="0" quotePrefix="0" xfId="0"/>
    <xf numFmtId="0" fontId="0" fillId="0" borderId="51" pivotButton="0" quotePrefix="0" xfId="0"/>
    <xf numFmtId="0" fontId="0" fillId="0" borderId="10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63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52" pivotButton="0" quotePrefix="0" xfId="0"/>
    <xf numFmtId="0" fontId="0" fillId="0" borderId="17" pivotButton="0" quotePrefix="0" xfId="0"/>
    <xf numFmtId="165" fontId="11" fillId="0" borderId="18" applyAlignment="1" pivotButton="0" quotePrefix="0" xfId="1">
      <alignment horizontal="center" vertical="center" shrinkToFit="1"/>
    </xf>
    <xf numFmtId="0" fontId="5" fillId="0" borderId="4" applyAlignment="1" pivotButton="0" quotePrefix="0" xfId="1">
      <alignment horizontal="center" vertical="center"/>
    </xf>
    <xf numFmtId="0" fontId="28" fillId="0" borderId="75" applyAlignment="1" pivotButton="0" quotePrefix="0" xfId="1">
      <alignment horizontal="center" vertical="center" shrinkToFit="1"/>
    </xf>
    <xf numFmtId="0" fontId="11" fillId="0" borderId="70" applyAlignment="1" pivotButton="0" quotePrefix="0" xfId="1">
      <alignment horizontal="center" vertical="center"/>
    </xf>
    <xf numFmtId="0" fontId="11" fillId="0" borderId="76" applyAlignment="1" pivotButton="0" quotePrefix="0" xfId="1">
      <alignment horizontal="center" vertical="center"/>
    </xf>
    <xf numFmtId="0" fontId="6" fillId="0" borderId="70" applyAlignment="1" pivotButton="0" quotePrefix="0" xfId="1">
      <alignment horizontal="left" vertical="center" shrinkToFit="1"/>
    </xf>
    <xf numFmtId="0" fontId="0" fillId="0" borderId="77" pivotButton="0" quotePrefix="0" xfId="0"/>
    <xf numFmtId="0" fontId="0" fillId="0" borderId="78" pivotButton="0" quotePrefix="0" xfId="0"/>
    <xf numFmtId="0" fontId="11" fillId="0" borderId="79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28" fillId="0" borderId="80" applyAlignment="1" pivotButton="0" quotePrefix="0" xfId="1">
      <alignment horizontal="center" vertical="center" shrinkToFit="1"/>
    </xf>
    <xf numFmtId="0" fontId="0" fillId="0" borderId="24" pivotButton="0" quotePrefix="0" xfId="0"/>
    <xf numFmtId="0" fontId="6" fillId="0" borderId="59" applyAlignment="1" pivotButton="0" quotePrefix="0" xfId="1">
      <alignment vertical="center" shrinkToFit="1"/>
    </xf>
    <xf numFmtId="0" fontId="6" fillId="0" borderId="81" applyAlignment="1" pivotButton="0" quotePrefix="0" xfId="1">
      <alignment vertical="center" shrinkToFit="1"/>
    </xf>
    <xf numFmtId="0" fontId="6" fillId="0" borderId="82" applyAlignment="1" pivotButton="0" quotePrefix="0" xfId="1">
      <alignment vertical="center" shrinkToFit="1"/>
    </xf>
    <xf numFmtId="0" fontId="0" fillId="0" borderId="42" pivotButton="0" quotePrefix="0" xfId="0"/>
    <xf numFmtId="0" fontId="5" fillId="0" borderId="16" applyAlignment="1" pivotButton="0" quotePrefix="0" xfId="1">
      <alignment horizontal="center" vertical="center"/>
    </xf>
    <xf numFmtId="0" fontId="6" fillId="0" borderId="61" applyAlignment="1" pivotButton="0" quotePrefix="0" xfId="1">
      <alignment vertical="center" shrinkToFit="1"/>
    </xf>
    <xf numFmtId="0" fontId="6" fillId="0" borderId="83" applyAlignment="1" pivotButton="0" quotePrefix="0" xfId="1">
      <alignment vertical="center" shrinkToFit="1"/>
    </xf>
    <xf numFmtId="0" fontId="31" fillId="0" borderId="62" applyAlignment="1" pivotButton="0" quotePrefix="0" xfId="1">
      <alignment horizontal="center" vertical="center" wrapText="1" shrinkToFit="1"/>
    </xf>
    <xf numFmtId="164" fontId="6" fillId="0" borderId="0" applyAlignment="1" pivotButton="0" quotePrefix="0" xfId="1">
      <alignment vertical="center"/>
    </xf>
    <xf numFmtId="0" fontId="28" fillId="0" borderId="80" applyAlignment="1" pivotButton="0" quotePrefix="0" xfId="1">
      <alignment horizontal="center" vertical="center"/>
    </xf>
    <xf numFmtId="0" fontId="21" fillId="0" borderId="62" applyAlignment="1" pivotButton="0" quotePrefix="0" xfId="1">
      <alignment horizontal="center" vertical="center" wrapText="1"/>
    </xf>
    <xf numFmtId="0" fontId="3" fillId="0" borderId="62" applyAlignment="1" pivotButton="0" quotePrefix="0" xfId="1">
      <alignment horizontal="center" vertical="center" shrinkToFit="1"/>
    </xf>
    <xf numFmtId="0" fontId="11" fillId="2" borderId="79" applyAlignment="1" pivotButton="0" quotePrefix="0" xfId="1">
      <alignment horizontal="center" vertical="center"/>
    </xf>
    <xf numFmtId="0" fontId="6" fillId="0" borderId="76" applyAlignment="1" pivotButton="0" quotePrefix="0" xfId="1">
      <alignment vertical="center" shrinkToFit="1"/>
    </xf>
    <xf numFmtId="0" fontId="6" fillId="0" borderId="77" applyAlignment="1" pivotButton="0" quotePrefix="0" xfId="1">
      <alignment vertical="center" shrinkToFit="1"/>
    </xf>
    <xf numFmtId="0" fontId="29" fillId="0" borderId="62" applyAlignment="1" pivotButton="0" quotePrefix="0" xfId="1">
      <alignment horizontal="center" vertical="center"/>
    </xf>
    <xf numFmtId="0" fontId="11" fillId="2" borderId="79" applyAlignment="1" pivotButton="0" quotePrefix="0" xfId="1">
      <alignment horizontal="center" vertical="center" shrinkToFit="1"/>
    </xf>
    <xf numFmtId="0" fontId="11" fillId="0" borderId="81" applyAlignment="1" pivotButton="0" quotePrefix="0" xfId="1">
      <alignment horizontal="center" vertical="center" shrinkToFit="1"/>
    </xf>
    <xf numFmtId="0" fontId="3" fillId="0" borderId="70" applyAlignment="1" pivotButton="0" quotePrefix="0" xfId="1">
      <alignment horizontal="center" vertical="center" shrinkToFit="1"/>
    </xf>
    <xf numFmtId="0" fontId="11" fillId="0" borderId="62" applyAlignment="1" pivotButton="0" quotePrefix="0" xfId="1">
      <alignment horizontal="center" vertical="center" textRotation="255" shrinkToFit="1"/>
    </xf>
    <xf numFmtId="0" fontId="0" fillId="0" borderId="27" pivotButton="0" quotePrefix="0" xfId="0"/>
    <xf numFmtId="0" fontId="6" fillId="0" borderId="79" applyAlignment="1" pivotButton="0" quotePrefix="0" xfId="1">
      <alignment vertical="center"/>
    </xf>
    <xf numFmtId="0" fontId="3" fillId="0" borderId="62" applyAlignment="1" pivotButton="0" quotePrefix="0" xfId="1">
      <alignment horizontal="center" vertical="center" wrapText="1" shrinkToFit="1"/>
    </xf>
    <xf numFmtId="0" fontId="6" fillId="0" borderId="75" applyAlignment="1" pivotButton="0" quotePrefix="0" xfId="1">
      <alignment vertical="center" shrinkToFit="1"/>
    </xf>
    <xf numFmtId="0" fontId="6" fillId="0" borderId="84" applyAlignment="1" pivotButton="0" quotePrefix="0" xfId="1">
      <alignment vertical="center" shrinkToFit="1"/>
    </xf>
    <xf numFmtId="0" fontId="14" fillId="0" borderId="62" applyAlignment="1" pivotButton="0" quotePrefix="0" xfId="1">
      <alignment horizontal="center" vertical="top" wrapText="1"/>
    </xf>
    <xf numFmtId="0" fontId="2" fillId="0" borderId="62" applyAlignment="1" pivotButton="0" quotePrefix="0" xfId="1">
      <alignment horizontal="center" vertical="center" shrinkToFit="1"/>
    </xf>
    <xf numFmtId="0" fontId="11" fillId="0" borderId="62" applyAlignment="1" pivotButton="0" quotePrefix="0" xfId="1">
      <alignment horizontal="center" vertical="center" shrinkToFit="1"/>
    </xf>
    <xf numFmtId="0" fontId="6" fillId="0" borderId="79" applyAlignment="1" pivotButton="0" quotePrefix="0" xfId="1">
      <alignment vertical="center" shrinkToFit="1"/>
    </xf>
    <xf numFmtId="0" fontId="0" fillId="0" borderId="82" pivotButton="0" quotePrefix="0" xfId="0"/>
    <xf numFmtId="0" fontId="6" fillId="0" borderId="41" applyAlignment="1" pivotButton="0" quotePrefix="0" xfId="1">
      <alignment vertical="center" shrinkToFit="1"/>
    </xf>
    <xf numFmtId="0" fontId="0" fillId="0" borderId="59" pivotButton="0" quotePrefix="0" xfId="0"/>
    <xf numFmtId="0" fontId="6" fillId="0" borderId="79" applyAlignment="1" pivotButton="0" quotePrefix="0" xfId="1">
      <alignment horizontal="left" vertical="center" shrinkToFit="1"/>
    </xf>
    <xf numFmtId="0" fontId="11" fillId="0" borderId="41" applyAlignment="1" pivotButton="0" quotePrefix="0" xfId="1">
      <alignment horizontal="center" vertical="center"/>
    </xf>
    <xf numFmtId="0" fontId="6" fillId="0" borderId="58" applyAlignment="1" pivotButton="0" quotePrefix="0" xfId="1">
      <alignment vertical="center"/>
    </xf>
    <xf numFmtId="0" fontId="6" fillId="0" borderId="85" applyAlignment="1" pivotButton="0" quotePrefix="0" xfId="1">
      <alignment vertical="center" shrinkToFit="1"/>
    </xf>
    <xf numFmtId="0" fontId="0" fillId="0" borderId="83" pivotButton="0" quotePrefix="0" xfId="0"/>
  </cellXfs>
  <cellStyles count="3">
    <cellStyle name="標準" xfId="0" builtinId="0"/>
    <cellStyle name="標準 2" xfId="1"/>
    <cellStyle name="標準 5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zoomScale="70" zoomScaleNormal="70" zoomScaleSheetLayoutView="61" workbookViewId="0">
      <selection activeCell="D33" sqref="D33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3.125" customWidth="1" style="37" min="4" max="4"/>
    <col width="9.625" customWidth="1" style="28" min="5" max="8"/>
    <col width="9.625" customWidth="1" style="1" min="9" max="9"/>
    <col width="14.75" customWidth="1" style="1" min="10" max="10"/>
    <col width="18" customWidth="1" style="1" min="11" max="11"/>
    <col width="9" customWidth="1" style="1" min="12" max="16384"/>
  </cols>
  <sheetData>
    <row r="1" ht="30" customHeight="1" s="290">
      <c r="A1" s="32" t="n"/>
      <c r="B1" s="42" t="n"/>
      <c r="C1" s="42" t="n"/>
      <c r="D1" s="42" t="n"/>
      <c r="G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48" t="inlineStr">
        <is>
          <t xml:space="preserve">福岡本社:〒810-0001　</t>
        </is>
      </c>
      <c r="H2" s="2" t="n"/>
      <c r="I2" s="51" t="n"/>
      <c r="J2" s="51" t="n"/>
    </row>
    <row r="3" ht="35.85" customHeight="1" s="290" thickBot="1">
      <c r="A3" s="211" t="inlineStr">
        <is>
          <t>施設名</t>
        </is>
      </c>
      <c r="F3" s="211" t="n"/>
      <c r="G3" s="48" t="inlineStr">
        <is>
          <t>福岡県福岡市中央区天神２丁目３番１０号　天神パインクレスト719</t>
        </is>
      </c>
      <c r="H3" s="211" t="n"/>
      <c r="I3" s="52" t="n"/>
      <c r="J3" s="52" t="n"/>
    </row>
    <row r="4" ht="35.85" customHeight="1" s="290">
      <c r="A4" s="291" t="inlineStr">
        <is>
          <t>松岡会
山城ｸﾞﾙｰﾌﾟﾎｰﾑ</t>
        </is>
      </c>
      <c r="B4" s="292" t="n"/>
      <c r="C4" s="292" t="n"/>
      <c r="D4" s="293" t="n"/>
      <c r="E4" s="76" t="n"/>
      <c r="F4" s="45" t="n"/>
      <c r="G4" s="48" t="inlineStr">
        <is>
          <t>東京営業所:〒107-0079</t>
        </is>
      </c>
      <c r="H4" s="45" t="n"/>
      <c r="I4" s="44" t="n"/>
      <c r="J4" s="44" t="n"/>
    </row>
    <row r="5" ht="35.85" customHeight="1" s="290" thickBot="1">
      <c r="A5" s="294" t="n"/>
      <c r="B5" s="295" t="n"/>
      <c r="C5" s="295" t="n"/>
      <c r="D5" s="296" t="n"/>
      <c r="E5" s="76" t="n"/>
      <c r="F5" s="45" t="n"/>
      <c r="G5" s="49" t="inlineStr">
        <is>
          <t>東京都中央区南青山２丁目２番１５号　ウィン青山942</t>
        </is>
      </c>
      <c r="H5" s="45" t="n"/>
      <c r="I5" s="44" t="n"/>
      <c r="J5" s="44" t="n"/>
    </row>
    <row r="6" ht="35.85" customHeight="1" s="290">
      <c r="A6" s="33" t="n"/>
      <c r="B6" s="34" t="n"/>
      <c r="C6" s="34" t="n"/>
      <c r="D6" s="34" t="n"/>
      <c r="E6" s="30" t="n"/>
      <c r="F6" s="30" t="n"/>
      <c r="G6" s="50" t="inlineStr">
        <is>
          <t>電話:0120-907-056　Fax:050-3092-0899</t>
        </is>
      </c>
      <c r="H6" s="30" t="n"/>
      <c r="I6" s="44" t="n"/>
      <c r="J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3" t="n"/>
      <c r="H7" s="3" t="n"/>
      <c r="I7" s="29" t="n"/>
      <c r="J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常食3F</t>
        </is>
      </c>
      <c r="F8" s="299" t="inlineStr">
        <is>
          <t>軟菜2F</t>
        </is>
      </c>
      <c r="G8" s="299" t="inlineStr">
        <is>
          <t>軟菜3F</t>
        </is>
      </c>
      <c r="H8" s="300" t="inlineStr">
        <is>
          <t>ﾐｷｻｰ</t>
        </is>
      </c>
      <c r="I8" s="293" t="n"/>
      <c r="J8" s="301" t="inlineStr">
        <is>
          <t>備考欄</t>
        </is>
      </c>
      <c r="K8" s="293" t="n"/>
    </row>
    <row r="9" ht="28.5" customHeight="1" s="290">
      <c r="A9" s="302" t="n"/>
      <c r="B9" s="303" t="n"/>
      <c r="C9" s="304" t="n"/>
      <c r="D9" s="305" t="n"/>
      <c r="E9" s="306" t="n"/>
      <c r="F9" s="306" t="n"/>
      <c r="G9" s="306" t="n"/>
      <c r="H9" s="307" t="n"/>
      <c r="I9" s="308" t="n"/>
      <c r="J9" s="307" t="n"/>
      <c r="K9" s="308" t="n"/>
    </row>
    <row r="10" ht="18" customHeight="1" s="290">
      <c r="A10" s="302" t="n"/>
      <c r="B10" s="303" t="n"/>
      <c r="C10" s="304" t="n"/>
      <c r="D10" s="305" t="n"/>
      <c r="E10" s="306" t="n"/>
      <c r="F10" s="306" t="n"/>
      <c r="G10" s="306" t="n"/>
      <c r="H10" s="309" t="n"/>
      <c r="I10" s="310" t="n"/>
      <c r="J10" s="307" t="n"/>
      <c r="K10" s="308" t="n"/>
    </row>
    <row r="11" ht="18.6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234" t="inlineStr">
        <is>
          <t>2F</t>
        </is>
      </c>
      <c r="I11" s="234" t="inlineStr">
        <is>
          <t>3F</t>
        </is>
      </c>
      <c r="J11" s="294" t="n"/>
      <c r="K11" s="296" t="n"/>
    </row>
    <row r="12" ht="23.25" customHeight="1" s="290">
      <c r="A12" s="316" t="n">
        <v>46152</v>
      </c>
      <c r="B12" s="317" t="inlineStr">
        <is>
          <t>朝</t>
        </is>
      </c>
      <c r="C12" s="317" t="inlineStr">
        <is>
          <t>副①</t>
        </is>
      </c>
      <c r="D12" s="318" t="inlineStr">
        <is>
          <t>ごぼうと竹輪の煮物</t>
        </is>
      </c>
      <c r="E12" s="319" t="n">
        <v>3</v>
      </c>
      <c r="F12" s="319" t="n">
        <v>5</v>
      </c>
      <c r="G12" s="319" t="n">
        <v>1</v>
      </c>
      <c r="H12" s="319" t="n">
        <v>4</v>
      </c>
      <c r="I12" s="320" t="n">
        <v>3</v>
      </c>
      <c r="J12" s="321" t="n"/>
      <c r="K12" s="322" t="n"/>
    </row>
    <row r="13" ht="23.25" customHeight="1" s="290">
      <c r="A13" s="302" t="n"/>
      <c r="B13" s="323" t="n"/>
      <c r="C13" s="205" t="inlineStr">
        <is>
          <t>副②</t>
        </is>
      </c>
      <c r="D13" s="105" t="inlineStr">
        <is>
          <t>いんげんの味噌和え</t>
        </is>
      </c>
      <c r="E13" s="324" t="n">
        <v>3</v>
      </c>
      <c r="F13" s="19" t="n">
        <v>5</v>
      </c>
      <c r="G13" s="324" t="n">
        <v>1</v>
      </c>
      <c r="H13" s="324" t="n">
        <v>4</v>
      </c>
      <c r="I13" s="324" t="n">
        <v>3</v>
      </c>
      <c r="J13" s="10" t="n"/>
      <c r="K13" s="11" t="n"/>
    </row>
    <row r="14" ht="23.2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 t="inlineStr">
        <is>
          <t>豚肉と白菜のすき煮</t>
        </is>
      </c>
      <c r="E14" s="324" t="n">
        <v>3</v>
      </c>
      <c r="F14" s="324" t="n">
        <v>5</v>
      </c>
      <c r="G14" s="324" t="n">
        <v>1</v>
      </c>
      <c r="H14" s="324" t="n">
        <v>4</v>
      </c>
      <c r="I14" s="324" t="n">
        <v>3</v>
      </c>
      <c r="J14" s="68" t="n"/>
      <c r="K14" s="15" t="n"/>
    </row>
    <row r="15" ht="23.25" customHeight="1" s="290">
      <c r="A15" s="302" t="n"/>
      <c r="B15" s="327" t="n"/>
      <c r="C15" s="325" t="inlineStr">
        <is>
          <t>副①</t>
        </is>
      </c>
      <c r="D15" s="326" t="inlineStr">
        <is>
          <t>さつま芋の天ぷら</t>
        </is>
      </c>
      <c r="E15" s="324" t="n">
        <v>3</v>
      </c>
      <c r="F15" s="324" t="n">
        <v>5</v>
      </c>
      <c r="G15" s="324" t="n">
        <v>1</v>
      </c>
      <c r="H15" s="324" t="n">
        <v>4</v>
      </c>
      <c r="I15" s="324" t="n">
        <v>3</v>
      </c>
      <c r="J15" s="285" t="n"/>
      <c r="K15" s="328" t="n"/>
    </row>
    <row r="16" ht="23.25" customHeight="1" s="290">
      <c r="A16" s="302" t="n"/>
      <c r="B16" s="323" t="n"/>
      <c r="C16" s="325" t="inlineStr">
        <is>
          <t>副②</t>
        </is>
      </c>
      <c r="D16" s="125" t="inlineStr">
        <is>
          <t>ﾌﾞﾛｯｺﾘｰのちりめん和え</t>
        </is>
      </c>
      <c r="E16" s="19" t="n">
        <v>3</v>
      </c>
      <c r="F16" s="19" t="n">
        <v>5</v>
      </c>
      <c r="G16" s="19" t="n">
        <v>1</v>
      </c>
      <c r="H16" s="19" t="n">
        <v>4</v>
      </c>
      <c r="I16" s="19" t="n">
        <v>3</v>
      </c>
      <c r="J16" s="329" t="n"/>
      <c r="K16" s="330" t="n"/>
    </row>
    <row r="17" ht="23.2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 t="inlineStr">
        <is>
          <t>煮込みハンバーグ</t>
        </is>
      </c>
      <c r="E17" s="324" t="n">
        <v>3</v>
      </c>
      <c r="F17" s="324" t="n">
        <v>5</v>
      </c>
      <c r="G17" s="324" t="n">
        <v>1</v>
      </c>
      <c r="H17" s="324" t="n">
        <v>4</v>
      </c>
      <c r="I17" s="324" t="n">
        <v>3</v>
      </c>
      <c r="J17" s="68" t="n"/>
      <c r="K17" s="15" t="n"/>
    </row>
    <row r="18" ht="23.25" customHeight="1" s="290">
      <c r="A18" s="302" t="n"/>
      <c r="B18" s="327" t="n"/>
      <c r="C18" s="325" t="inlineStr">
        <is>
          <t>副①</t>
        </is>
      </c>
      <c r="D18" s="326" t="inlineStr">
        <is>
          <t>ジャーマンポテト</t>
        </is>
      </c>
      <c r="E18" s="324" t="n">
        <v>3</v>
      </c>
      <c r="F18" s="324" t="n">
        <v>5</v>
      </c>
      <c r="G18" s="324" t="n">
        <v>1</v>
      </c>
      <c r="H18" s="324" t="n">
        <v>4</v>
      </c>
      <c r="I18" s="324" t="n">
        <v>3</v>
      </c>
      <c r="J18" s="285" t="n"/>
      <c r="K18" s="328" t="n"/>
    </row>
    <row r="19" ht="23.25" customHeight="1" s="290" thickBot="1">
      <c r="A19" s="331" t="n"/>
      <c r="B19" s="323" t="n"/>
      <c r="C19" s="332" t="inlineStr">
        <is>
          <t>副②</t>
        </is>
      </c>
      <c r="D19" s="112" t="inlineStr">
        <is>
          <t>ほうれん草の和え物</t>
        </is>
      </c>
      <c r="E19" s="201" t="n">
        <v>3</v>
      </c>
      <c r="F19" s="201" t="n">
        <v>5</v>
      </c>
      <c r="G19" s="201" t="n">
        <v>1</v>
      </c>
      <c r="H19" s="201" t="n">
        <v>4</v>
      </c>
      <c r="I19" s="201" t="n">
        <v>3</v>
      </c>
      <c r="J19" s="333" t="n"/>
      <c r="K19" s="334" t="n"/>
    </row>
    <row r="20" ht="18" customHeight="1" s="290">
      <c r="A20" s="37" t="inlineStr">
        <is>
          <t> </t>
        </is>
      </c>
      <c r="D20" s="37" t="inlineStr">
        <is>
          <t>　</t>
        </is>
      </c>
    </row>
    <row r="21"/>
    <row r="22"/>
    <row r="23"/>
    <row r="24"/>
    <row r="25"/>
    <row r="26"/>
    <row r="27" ht="18" customHeight="1" s="290">
      <c r="C27" s="37" t="inlineStr">
        <is>
          <t>v</t>
        </is>
      </c>
    </row>
    <row r="28"/>
    <row r="29"/>
    <row r="30"/>
    <row r="31" ht="18" customHeight="1" s="290">
      <c r="K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17">
    <mergeCell ref="J8:K11"/>
    <mergeCell ref="B17:B19"/>
    <mergeCell ref="A12:A16"/>
    <mergeCell ref="J12:K12"/>
    <mergeCell ref="D8:D11"/>
    <mergeCell ref="A8:A11"/>
    <mergeCell ref="B12:B13"/>
    <mergeCell ref="E8:E11"/>
    <mergeCell ref="A17:A19"/>
    <mergeCell ref="A4:D5"/>
    <mergeCell ref="F8:F11"/>
    <mergeCell ref="G8:G11"/>
    <mergeCell ref="B14:B16"/>
    <mergeCell ref="H8:I10"/>
    <mergeCell ref="B8:C11"/>
    <mergeCell ref="A2:C2"/>
    <mergeCell ref="A3:E3"/>
  </mergeCells>
  <printOptions horizontalCentered="1" verticalCentered="1"/>
  <pageMargins left="0.25" right="0.25" top="0.75" bottom="0.75" header="0.3" footer="0.3"/>
  <pageSetup orientation="portrait" paperSize="9" scale="7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zoomScale="61" zoomScaleNormal="61" zoomScaleSheetLayoutView="61" workbookViewId="0">
      <selection activeCell="E40" sqref="E40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12.25" customWidth="1" style="37" min="3" max="3"/>
    <col width="26" customWidth="1" style="37" min="4" max="4"/>
    <col width="16.125" customWidth="1" style="28" min="5" max="6"/>
    <col width="9.25" customWidth="1" style="1" min="7" max="7"/>
    <col width="18.75" customWidth="1" style="1" min="8" max="8"/>
    <col width="16.375" customWidth="1" style="1" min="9" max="9"/>
    <col width="9" customWidth="1" style="1" min="10" max="16384"/>
  </cols>
  <sheetData>
    <row r="1" ht="30" customHeight="1" s="290">
      <c r="A1" s="32" t="n"/>
      <c r="B1" s="42" t="n"/>
      <c r="C1" s="42" t="n"/>
      <c r="D1" s="42" t="n"/>
      <c r="G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48" t="inlineStr">
        <is>
          <t xml:space="preserve">福岡本社:〒810-0001　</t>
        </is>
      </c>
      <c r="H2" s="51" t="n"/>
    </row>
    <row r="3" ht="35.85" customHeight="1" s="290" thickBot="1">
      <c r="A3" s="211" t="inlineStr">
        <is>
          <t>施設名</t>
        </is>
      </c>
      <c r="F3" s="211" t="n"/>
      <c r="G3" s="48" t="inlineStr">
        <is>
          <t>福岡県福岡市中央区天神２丁目３番１０号　天神パインクレスト719</t>
        </is>
      </c>
      <c r="H3" s="52" t="n"/>
    </row>
    <row r="4" ht="35.85" customHeight="1" s="290">
      <c r="A4" s="291" t="inlineStr">
        <is>
          <t>いこいの森
プラス</t>
        </is>
      </c>
      <c r="B4" s="292" t="n"/>
      <c r="C4" s="292" t="n"/>
      <c r="D4" s="293" t="n"/>
      <c r="E4" s="76" t="n"/>
      <c r="F4" s="45" t="n"/>
      <c r="G4" s="48" t="inlineStr">
        <is>
          <t>東京営業所:〒107-0079</t>
        </is>
      </c>
      <c r="H4" s="44" t="n"/>
    </row>
    <row r="5" ht="35.85" customHeight="1" s="290" thickBot="1">
      <c r="A5" s="294" t="n"/>
      <c r="B5" s="295" t="n"/>
      <c r="C5" s="295" t="n"/>
      <c r="D5" s="296" t="n"/>
      <c r="E5" s="76" t="n"/>
      <c r="F5" s="45" t="n"/>
      <c r="G5" s="49" t="inlineStr">
        <is>
          <t>東京都中央区南青山２丁目２番１５号　ウィン青山942</t>
        </is>
      </c>
      <c r="H5" s="44" t="n"/>
    </row>
    <row r="6" ht="35.85" customHeight="1" s="290">
      <c r="A6" s="109" t="n"/>
      <c r="B6" s="34" t="n"/>
      <c r="C6" s="34" t="n"/>
      <c r="D6" s="34" t="n"/>
      <c r="E6" s="30" t="n"/>
      <c r="F6" s="30" t="n"/>
      <c r="G6" s="50" t="inlineStr">
        <is>
          <t>電話:0120-907-056　Fax:050-3092-0899</t>
        </is>
      </c>
      <c r="H6" s="44" t="n"/>
    </row>
    <row r="7" ht="15.75" customHeight="1" s="290" thickBot="1">
      <c r="A7" s="108" t="n"/>
      <c r="B7" s="36" t="n"/>
      <c r="C7" s="36" t="n"/>
      <c r="D7" s="36" t="n"/>
      <c r="E7" s="3" t="n"/>
      <c r="F7" s="3" t="n"/>
      <c r="G7" s="29" t="n"/>
      <c r="H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</t>
        </is>
      </c>
      <c r="F8" s="299" t="inlineStr">
        <is>
          <t>糖尿</t>
        </is>
      </c>
      <c r="G8" s="335" t="inlineStr">
        <is>
          <t>魚禁
(常食)</t>
        </is>
      </c>
      <c r="H8" s="301" t="inlineStr">
        <is>
          <t>備考欄</t>
        </is>
      </c>
      <c r="I8" s="293" t="n"/>
    </row>
    <row r="9" ht="28.5" customHeight="1" s="290">
      <c r="A9" s="302" t="n"/>
      <c r="B9" s="303" t="n"/>
      <c r="C9" s="304" t="n"/>
      <c r="D9" s="305" t="n"/>
      <c r="E9" s="306" t="n"/>
      <c r="F9" s="306" t="n"/>
      <c r="G9" s="306" t="n"/>
      <c r="H9" s="307" t="n"/>
      <c r="I9" s="308" t="n"/>
    </row>
    <row r="10" ht="18.6" customHeight="1" s="290">
      <c r="A10" s="302" t="n"/>
      <c r="B10" s="303" t="n"/>
      <c r="C10" s="304" t="n"/>
      <c r="D10" s="305" t="n"/>
      <c r="E10" s="306" t="n"/>
      <c r="F10" s="306" t="n"/>
      <c r="G10" s="306" t="n"/>
      <c r="H10" s="307" t="n"/>
      <c r="I10" s="308" t="n"/>
    </row>
    <row r="11" ht="18.6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294" t="n"/>
      <c r="I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>
        <v>20</v>
      </c>
      <c r="F12" s="319" t="n">
        <v>4</v>
      </c>
      <c r="G12" s="319" t="n"/>
      <c r="H12" s="321" t="n"/>
      <c r="I12" s="322" t="n"/>
    </row>
    <row r="13" ht="23.45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24" t="n">
        <v>20</v>
      </c>
      <c r="F13" s="324" t="n">
        <v>4</v>
      </c>
      <c r="G13" s="19" t="n"/>
      <c r="H13" s="10" t="n"/>
      <c r="I13" s="11" t="n"/>
    </row>
    <row r="14" ht="23.4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324" t="n">
        <v>20</v>
      </c>
      <c r="F14" s="324" t="n">
        <v>5</v>
      </c>
      <c r="G14" s="200" t="n"/>
      <c r="H14" s="68" t="n"/>
      <c r="I14" s="15" t="n"/>
    </row>
    <row r="15" ht="27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20</v>
      </c>
      <c r="F15" s="324" t="n">
        <v>5</v>
      </c>
      <c r="G15" s="324" t="n"/>
      <c r="H15" s="285" t="n"/>
      <c r="I15" s="328" t="n"/>
    </row>
    <row r="16" ht="23.45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19" t="n">
        <v>20</v>
      </c>
      <c r="F16" s="19" t="n">
        <v>5</v>
      </c>
      <c r="G16" s="19" t="n"/>
      <c r="H16" s="329" t="n"/>
      <c r="I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24" t="n">
        <v>20</v>
      </c>
      <c r="F17" s="324" t="n">
        <v>5</v>
      </c>
      <c r="G17" s="200" t="n"/>
      <c r="H17" s="336" t="n"/>
      <c r="I17" s="15" t="n"/>
    </row>
    <row r="18" ht="23.45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20</v>
      </c>
      <c r="F18" s="324" t="n">
        <v>5</v>
      </c>
      <c r="G18" s="324" t="n"/>
      <c r="H18" s="285" t="n"/>
      <c r="I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20</v>
      </c>
      <c r="F19" s="201" t="n">
        <v>5</v>
      </c>
      <c r="G19" s="201" t="n"/>
      <c r="H19" s="333" t="n"/>
      <c r="I19" s="334" t="n"/>
    </row>
    <row r="20"/>
    <row r="21"/>
    <row r="22"/>
    <row r="23"/>
    <row r="24"/>
    <row r="25"/>
    <row r="26"/>
    <row r="27"/>
    <row r="28"/>
    <row r="29"/>
    <row r="30"/>
    <row r="31" ht="18" customHeight="1" s="290">
      <c r="K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16">
    <mergeCell ref="A12:A16"/>
    <mergeCell ref="B17:B19"/>
    <mergeCell ref="H12:I12"/>
    <mergeCell ref="D8:D11"/>
    <mergeCell ref="B12:B13"/>
    <mergeCell ref="A17:A19"/>
    <mergeCell ref="A8:A11"/>
    <mergeCell ref="E8:E11"/>
    <mergeCell ref="F8:F11"/>
    <mergeCell ref="G8:G11"/>
    <mergeCell ref="A4:D5"/>
    <mergeCell ref="B14:B16"/>
    <mergeCell ref="H8:I11"/>
    <mergeCell ref="B8:C11"/>
    <mergeCell ref="A2:C2"/>
    <mergeCell ref="A3:E3"/>
  </mergeCells>
  <printOptions horizontalCentered="1" verticalCentered="1"/>
  <pageMargins left="0.25" right="0.25" top="0.75" bottom="0.75" header="0.3" footer="0.3"/>
  <pageSetup orientation="portrait" paperSize="9" scale="6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zoomScale="61" zoomScaleNormal="61" zoomScaleSheetLayoutView="61" workbookViewId="0">
      <selection activeCell="F41" sqref="F41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5.625" customWidth="1" style="37" min="4" max="4"/>
    <col width="9.375" customWidth="1" style="28" min="5" max="9"/>
    <col width="9.375" customWidth="1" style="1" min="10" max="10"/>
    <col width="14.75" customWidth="1" style="1" min="11" max="11"/>
    <col width="18" customWidth="1" style="1" min="12" max="12"/>
    <col width="9" customWidth="1" style="1" min="13" max="16384"/>
  </cols>
  <sheetData>
    <row r="1" ht="30" customHeight="1" s="290">
      <c r="A1" s="32" t="n"/>
      <c r="B1" s="42" t="n"/>
      <c r="C1" s="42" t="n"/>
      <c r="D1" s="42" t="n"/>
      <c r="G1" s="47" t="inlineStr">
        <is>
          <t>株式会社アドオンミール</t>
        </is>
      </c>
      <c r="H1" s="47" t="n"/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48" t="inlineStr">
        <is>
          <t xml:space="preserve">福岡本社:〒810-0001　</t>
        </is>
      </c>
      <c r="H2" s="48" t="n"/>
      <c r="I2" s="2" t="n"/>
      <c r="J2" s="51" t="n"/>
      <c r="K2" s="51" t="n"/>
    </row>
    <row r="3" ht="35.85" customHeight="1" s="290" thickBot="1">
      <c r="A3" s="211" t="inlineStr">
        <is>
          <t>施設名</t>
        </is>
      </c>
      <c r="F3" s="211" t="n"/>
      <c r="G3" s="48" t="inlineStr">
        <is>
          <t>福岡県福岡市中央区天神２丁目３番１０号　天神パインクレスト719</t>
        </is>
      </c>
      <c r="H3" s="48" t="n"/>
      <c r="I3" s="211" t="n"/>
      <c r="J3" s="52" t="n"/>
      <c r="K3" s="52" t="n"/>
    </row>
    <row r="4" ht="35.85" customHeight="1" s="290">
      <c r="A4" s="291" t="inlineStr">
        <is>
          <t>松岡会
佐古ｸﾞﾙｰﾌﾟﾎｰﾑ</t>
        </is>
      </c>
      <c r="B4" s="292" t="n"/>
      <c r="C4" s="292" t="n"/>
      <c r="D4" s="293" t="n"/>
      <c r="E4" s="76" t="n"/>
      <c r="F4" s="45" t="n"/>
      <c r="G4" s="48" t="inlineStr">
        <is>
          <t>東京営業所:〒107-0079</t>
        </is>
      </c>
      <c r="H4" s="48" t="n"/>
      <c r="I4" s="45" t="n"/>
      <c r="J4" s="44" t="n"/>
      <c r="K4" s="44" t="n"/>
    </row>
    <row r="5" ht="35.85" customHeight="1" s="290" thickBot="1">
      <c r="A5" s="294" t="n"/>
      <c r="B5" s="295" t="n"/>
      <c r="C5" s="295" t="n"/>
      <c r="D5" s="296" t="n"/>
      <c r="E5" s="76" t="n"/>
      <c r="F5" s="45" t="n"/>
      <c r="G5" s="49" t="inlineStr">
        <is>
          <t>東京都中央区南青山２丁目２番１５号　ウィン青山942</t>
        </is>
      </c>
      <c r="H5" s="49" t="n"/>
      <c r="I5" s="45" t="n"/>
      <c r="J5" s="44" t="n"/>
      <c r="K5" s="44" t="n"/>
    </row>
    <row r="6" ht="35.85" customHeight="1" s="290">
      <c r="A6" s="33" t="n"/>
      <c r="B6" s="34" t="n"/>
      <c r="C6" s="34" t="n"/>
      <c r="D6" s="34" t="n"/>
      <c r="E6" s="30" t="n"/>
      <c r="F6" s="30" t="n"/>
      <c r="G6" s="50" t="inlineStr">
        <is>
          <t>電話:0120-907-056　Fax:050-3092-0899</t>
        </is>
      </c>
      <c r="H6" s="50" t="n"/>
      <c r="I6" s="30" t="n"/>
      <c r="J6" s="44" t="n"/>
      <c r="K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3" t="n"/>
      <c r="H7" s="3" t="n"/>
      <c r="I7" s="3" t="n"/>
      <c r="J7" s="29" t="n"/>
      <c r="K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常食2F</t>
        </is>
      </c>
      <c r="F8" s="299" t="inlineStr">
        <is>
          <t>常食3F</t>
        </is>
      </c>
      <c r="G8" s="299" t="inlineStr">
        <is>
          <t>軟菜2F</t>
        </is>
      </c>
      <c r="H8" s="299" t="inlineStr">
        <is>
          <t>軟菜3F</t>
        </is>
      </c>
      <c r="I8" s="300" t="inlineStr">
        <is>
          <t>ﾐｷｻｰ</t>
        </is>
      </c>
      <c r="J8" s="293" t="n"/>
      <c r="K8" s="301" t="inlineStr">
        <is>
          <t>備考欄</t>
        </is>
      </c>
      <c r="L8" s="293" t="n"/>
    </row>
    <row r="9" ht="28.5" customHeight="1" s="290">
      <c r="A9" s="302" t="n"/>
      <c r="B9" s="303" t="n"/>
      <c r="C9" s="304" t="n"/>
      <c r="D9" s="305" t="n"/>
      <c r="E9" s="306" t="n"/>
      <c r="F9" s="306" t="n"/>
      <c r="G9" s="306" t="n"/>
      <c r="H9" s="306" t="n"/>
      <c r="I9" s="307" t="n"/>
      <c r="J9" s="308" t="n"/>
      <c r="K9" s="307" t="n"/>
      <c r="L9" s="308" t="n"/>
    </row>
    <row r="10" ht="18.6" customHeight="1" s="290">
      <c r="A10" s="302" t="n"/>
      <c r="B10" s="303" t="n"/>
      <c r="C10" s="304" t="n"/>
      <c r="D10" s="305" t="n"/>
      <c r="E10" s="306" t="n"/>
      <c r="F10" s="306" t="n"/>
      <c r="G10" s="306" t="n"/>
      <c r="H10" s="306" t="n"/>
      <c r="I10" s="309" t="n"/>
      <c r="J10" s="310" t="n"/>
      <c r="K10" s="307" t="n"/>
      <c r="L10" s="308" t="n"/>
    </row>
    <row r="11" ht="18.6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315" t="n"/>
      <c r="I11" s="234" t="inlineStr">
        <is>
          <t>2F</t>
        </is>
      </c>
      <c r="J11" s="234" t="inlineStr">
        <is>
          <t>3F</t>
        </is>
      </c>
      <c r="K11" s="294" t="n"/>
      <c r="L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/>
      <c r="F12" s="319" t="n"/>
      <c r="G12" s="319" t="n">
        <v>9</v>
      </c>
      <c r="H12" s="319" t="n">
        <v>6</v>
      </c>
      <c r="I12" s="319" t="n"/>
      <c r="J12" s="320" t="n">
        <v>1</v>
      </c>
      <c r="K12" s="321" t="n"/>
      <c r="L12" s="322" t="n"/>
    </row>
    <row r="13" ht="23.45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24" t="n"/>
      <c r="F13" s="324" t="n"/>
      <c r="G13" s="324" t="n">
        <v>9</v>
      </c>
      <c r="H13" s="324" t="n">
        <v>6</v>
      </c>
      <c r="I13" s="324" t="n"/>
      <c r="J13" s="324" t="n">
        <v>1</v>
      </c>
      <c r="K13" s="10" t="n"/>
      <c r="L13" s="11" t="n"/>
    </row>
    <row r="14" ht="23.4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324" t="n"/>
      <c r="F14" s="324" t="n"/>
      <c r="G14" s="324" t="n">
        <v>9</v>
      </c>
      <c r="H14" s="324" t="n">
        <v>6</v>
      </c>
      <c r="I14" s="324" t="n"/>
      <c r="J14" s="324" t="n">
        <v>1</v>
      </c>
      <c r="K14" s="68" t="n"/>
      <c r="L14" s="15" t="n"/>
    </row>
    <row r="15" ht="23.45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/>
      <c r="F15" s="324" t="n"/>
      <c r="G15" s="324" t="n">
        <v>9</v>
      </c>
      <c r="H15" s="324" t="n">
        <v>6</v>
      </c>
      <c r="I15" s="324" t="n"/>
      <c r="J15" s="324" t="n">
        <v>1</v>
      </c>
      <c r="K15" s="285" t="n"/>
      <c r="L15" s="328" t="n"/>
    </row>
    <row r="16" ht="23.45" customHeight="1" s="290">
      <c r="A16" s="302" t="n"/>
      <c r="B16" s="323" t="n"/>
      <c r="C16" s="325" t="inlineStr">
        <is>
          <t>副②</t>
        </is>
      </c>
      <c r="D16" s="125">
        <f>山城!D16</f>
        <v/>
      </c>
      <c r="E16" s="19" t="n"/>
      <c r="F16" s="19" t="n"/>
      <c r="G16" s="19" t="n">
        <v>9</v>
      </c>
      <c r="H16" s="19" t="n">
        <v>6</v>
      </c>
      <c r="I16" s="19" t="n"/>
      <c r="J16" s="19" t="n">
        <v>1</v>
      </c>
      <c r="K16" s="329" t="n"/>
      <c r="L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24" t="n"/>
      <c r="F17" s="324" t="n"/>
      <c r="G17" s="324" t="n">
        <v>9</v>
      </c>
      <c r="H17" s="324" t="n">
        <v>6</v>
      </c>
      <c r="I17" s="324" t="n"/>
      <c r="J17" s="324" t="n">
        <v>1</v>
      </c>
      <c r="K17" s="68" t="n"/>
      <c r="L17" s="15" t="n"/>
    </row>
    <row r="18" ht="23.45" customHeight="1" s="290">
      <c r="A18" s="302" t="n"/>
      <c r="B18" s="327" t="n"/>
      <c r="C18" s="325" t="inlineStr">
        <is>
          <t>副①</t>
        </is>
      </c>
      <c r="D18" s="326">
        <f>山城!D18</f>
        <v/>
      </c>
      <c r="E18" s="324" t="n"/>
      <c r="F18" s="324" t="n"/>
      <c r="G18" s="324" t="n">
        <v>9</v>
      </c>
      <c r="H18" s="324" t="n">
        <v>6</v>
      </c>
      <c r="I18" s="324" t="n"/>
      <c r="J18" s="324" t="n">
        <v>1</v>
      </c>
      <c r="K18" s="285" t="n"/>
      <c r="L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/>
      <c r="F19" s="201" t="n"/>
      <c r="G19" s="201" t="n">
        <v>9</v>
      </c>
      <c r="H19" s="201" t="n">
        <v>6</v>
      </c>
      <c r="I19" s="201" t="n"/>
      <c r="J19" s="201" t="n">
        <v>1</v>
      </c>
      <c r="K19" s="333" t="n"/>
      <c r="L19" s="334" t="n"/>
    </row>
    <row r="20" ht="18" customHeight="1" s="290">
      <c r="J20" s="1" t="n">
        <v>1</v>
      </c>
    </row>
    <row r="21"/>
    <row r="22"/>
    <row r="23"/>
    <row r="24"/>
    <row r="25"/>
    <row r="26"/>
    <row r="27"/>
    <row r="28"/>
    <row r="29"/>
    <row r="30"/>
    <row r="31" ht="18" customHeight="1" s="290">
      <c r="L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18">
    <mergeCell ref="K8:L11"/>
    <mergeCell ref="A12:A16"/>
    <mergeCell ref="B17:B19"/>
    <mergeCell ref="K12:L12"/>
    <mergeCell ref="D8:D11"/>
    <mergeCell ref="A8:A11"/>
    <mergeCell ref="A17:A19"/>
    <mergeCell ref="B12:B13"/>
    <mergeCell ref="I8:J10"/>
    <mergeCell ref="E8:E11"/>
    <mergeCell ref="F8:F11"/>
    <mergeCell ref="A4:D5"/>
    <mergeCell ref="G8:G11"/>
    <mergeCell ref="B14:B16"/>
    <mergeCell ref="H8:H11"/>
    <mergeCell ref="B8:C11"/>
    <mergeCell ref="A2:C2"/>
    <mergeCell ref="A3:E3"/>
  </mergeCells>
  <printOptions horizontalCentered="1" verticalCentered="1"/>
  <pageMargins left="0.25" right="0.25" top="0.75" bottom="0.75" header="0.3" footer="0.3"/>
  <pageSetup orientation="portrait" paperSize="9" scale="68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zoomScale="61" zoomScaleNormal="61" zoomScaleSheetLayoutView="61" workbookViewId="0">
      <selection activeCell="G37" sqref="G37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7.375" customWidth="1" style="37" min="4" max="4"/>
    <col width="13.625" customWidth="1" style="28" min="5" max="6"/>
    <col width="11.375" customWidth="1" style="28" min="7" max="8"/>
    <col width="14.75" customWidth="1" style="1" min="9" max="9"/>
    <col width="19.875" customWidth="1" style="1" min="10" max="10"/>
    <col width="9" customWidth="1" style="1" min="11" max="16384"/>
  </cols>
  <sheetData>
    <row r="1" ht="30" customHeight="1" s="290">
      <c r="A1" s="32" t="n"/>
      <c r="B1" s="42" t="n"/>
      <c r="C1" s="42" t="n"/>
      <c r="D1" s="42" t="n"/>
      <c r="H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51" t="n"/>
      <c r="H2" s="48" t="inlineStr">
        <is>
          <t xml:space="preserve">福岡本社:〒810-0001　</t>
        </is>
      </c>
      <c r="I2" s="51" t="n"/>
      <c r="J2" s="51" t="n"/>
    </row>
    <row r="3" ht="35.85" customHeight="1" s="290" thickBot="1">
      <c r="A3" s="211" t="inlineStr">
        <is>
          <t>施設名</t>
        </is>
      </c>
      <c r="F3" s="211" t="n"/>
      <c r="G3" s="52" t="n"/>
      <c r="H3" s="48" t="inlineStr">
        <is>
          <t>福岡県福岡市中央区天神２丁目３番１０号　天神パインクレスト719</t>
        </is>
      </c>
      <c r="I3" s="52" t="n"/>
      <c r="J3" s="52" t="n"/>
    </row>
    <row r="4" ht="35.85" customHeight="1" s="290">
      <c r="A4" s="338" t="inlineStr">
        <is>
          <t>ケアハウス
四万十ピア</t>
        </is>
      </c>
      <c r="B4" s="292" t="n"/>
      <c r="C4" s="292" t="n"/>
      <c r="D4" s="293" t="n"/>
      <c r="E4" s="77" t="n"/>
      <c r="F4" s="56" t="n"/>
      <c r="G4" s="44" t="n"/>
      <c r="H4" s="48" t="inlineStr">
        <is>
          <t>東京営業所:〒107-0079</t>
        </is>
      </c>
      <c r="I4" s="44" t="n"/>
      <c r="J4" s="44" t="n"/>
    </row>
    <row r="5" ht="35.85" customHeight="1" s="290" thickBot="1">
      <c r="A5" s="294" t="n"/>
      <c r="B5" s="295" t="n"/>
      <c r="C5" s="295" t="n"/>
      <c r="D5" s="296" t="n"/>
      <c r="E5" s="77" t="n"/>
      <c r="F5" s="56" t="n"/>
      <c r="G5" s="44" t="n"/>
      <c r="H5" s="49" t="inlineStr">
        <is>
          <t>東京都中央区南青山２丁目２番１５号　ウィン青山942</t>
        </is>
      </c>
      <c r="I5" s="44" t="n"/>
      <c r="J5" s="44" t="n"/>
    </row>
    <row r="6" ht="35.85" customHeight="1" s="290">
      <c r="A6" s="33" t="n"/>
      <c r="B6" s="34" t="n"/>
      <c r="C6" s="34" t="n"/>
      <c r="D6" s="34" t="n"/>
      <c r="E6" s="30" t="n"/>
      <c r="F6" s="30" t="n"/>
      <c r="G6" s="44" t="n"/>
      <c r="H6" s="50" t="inlineStr">
        <is>
          <t>電話:0120-907-056　Fax:050-3092-0899</t>
        </is>
      </c>
      <c r="I6" s="44" t="n"/>
      <c r="J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29" t="n"/>
      <c r="H7" s="29" t="n"/>
      <c r="I7" s="29" t="n"/>
      <c r="J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</t>
        </is>
      </c>
      <c r="F8" s="299" t="inlineStr">
        <is>
          <t>小口</t>
        </is>
      </c>
      <c r="G8" s="339" t="inlineStr">
        <is>
          <t>禁食　【　常食　・　小口　】</t>
        </is>
      </c>
      <c r="H8" s="293" t="n"/>
      <c r="I8" s="301" t="inlineStr">
        <is>
          <t>備考欄</t>
        </is>
      </c>
      <c r="J8" s="293" t="n"/>
    </row>
    <row r="9" ht="28.5" customHeight="1" s="290" thickBot="1">
      <c r="A9" s="302" t="n"/>
      <c r="B9" s="303" t="n"/>
      <c r="C9" s="304" t="n"/>
      <c r="D9" s="305" t="n"/>
      <c r="E9" s="306" t="n"/>
      <c r="F9" s="306" t="n"/>
      <c r="G9" s="294" t="n"/>
      <c r="H9" s="296" t="n"/>
      <c r="I9" s="307" t="n"/>
      <c r="J9" s="308" t="n"/>
    </row>
    <row r="10" ht="18.6" customHeight="1" s="290">
      <c r="A10" s="302" t="n"/>
      <c r="B10" s="303" t="n"/>
      <c r="C10" s="304" t="n"/>
      <c r="D10" s="305" t="n"/>
      <c r="E10" s="306" t="n"/>
      <c r="F10" s="306" t="n"/>
      <c r="G10" s="234" t="inlineStr">
        <is>
          <t>肉禁</t>
        </is>
      </c>
      <c r="H10" s="234" t="inlineStr">
        <is>
          <t>魚禁</t>
        </is>
      </c>
      <c r="I10" s="307" t="n"/>
      <c r="J10" s="308" t="n"/>
    </row>
    <row r="11" ht="18.6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315" t="n"/>
      <c r="I11" s="294" t="n"/>
      <c r="J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>
        <v>26</v>
      </c>
      <c r="F12" s="199" t="n"/>
      <c r="G12" s="5" t="n"/>
      <c r="H12" s="5" t="n"/>
      <c r="I12" s="321" t="n"/>
      <c r="J12" s="322" t="n"/>
    </row>
    <row r="13" ht="23.45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24" t="n">
        <v>26</v>
      </c>
      <c r="F13" s="324" t="n"/>
      <c r="G13" s="340" t="n"/>
      <c r="H13" s="340" t="n"/>
      <c r="I13" s="10" t="n"/>
      <c r="J13" s="11" t="n"/>
    </row>
    <row r="14" ht="23.2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324" t="n">
        <v>27</v>
      </c>
      <c r="F14" s="19" t="n"/>
      <c r="G14" s="20" t="n"/>
      <c r="H14" s="14" t="n"/>
      <c r="I14" s="68" t="n"/>
      <c r="J14" s="15" t="n"/>
    </row>
    <row r="15" ht="24.75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27</v>
      </c>
      <c r="F15" s="324" t="n"/>
      <c r="G15" s="340" t="n"/>
      <c r="H15" s="340" t="n"/>
      <c r="I15" s="285" t="n"/>
      <c r="J15" s="328" t="n"/>
    </row>
    <row r="16" ht="23.45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19" t="n">
        <v>27</v>
      </c>
      <c r="F16" s="19" t="n"/>
      <c r="G16" s="20" t="n"/>
      <c r="H16" s="20" t="n"/>
      <c r="I16" s="329" t="n"/>
      <c r="J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24" t="n">
        <v>28</v>
      </c>
      <c r="F17" s="324" t="n"/>
      <c r="G17" s="340" t="n"/>
      <c r="H17" s="24" t="n"/>
      <c r="I17" s="68" t="n"/>
      <c r="J17" s="15" t="n"/>
    </row>
    <row r="18" ht="23.45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28</v>
      </c>
      <c r="F18" s="324" t="n"/>
      <c r="G18" s="340" t="n"/>
      <c r="H18" s="340" t="n"/>
      <c r="I18" s="285" t="n"/>
      <c r="J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28</v>
      </c>
      <c r="F19" s="201" t="n"/>
      <c r="G19" s="25" t="n"/>
      <c r="H19" s="25" t="n"/>
      <c r="I19" s="333" t="n"/>
      <c r="J19" s="334" t="n"/>
    </row>
    <row r="20"/>
    <row r="21"/>
    <row r="22"/>
    <row r="23"/>
    <row r="24"/>
    <row r="25"/>
    <row r="26"/>
    <row r="27"/>
    <row r="28"/>
    <row r="29"/>
    <row r="30"/>
    <row r="31" ht="18" customHeight="1" s="290">
      <c r="K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18">
    <mergeCell ref="A12:A16"/>
    <mergeCell ref="B17:B19"/>
    <mergeCell ref="I12:J12"/>
    <mergeCell ref="D8:D11"/>
    <mergeCell ref="A8:A11"/>
    <mergeCell ref="A17:A19"/>
    <mergeCell ref="E8:E11"/>
    <mergeCell ref="B12:B13"/>
    <mergeCell ref="A2:C2"/>
    <mergeCell ref="A4:D5"/>
    <mergeCell ref="F8:F11"/>
    <mergeCell ref="B14:B16"/>
    <mergeCell ref="A3:E3"/>
    <mergeCell ref="B8:C11"/>
    <mergeCell ref="G8:H9"/>
    <mergeCell ref="H10:H11"/>
    <mergeCell ref="G10:G11"/>
    <mergeCell ref="I8:J11"/>
  </mergeCells>
  <printOptions horizontalCentered="1" verticalCentered="1"/>
  <pageMargins left="0.25" right="0.25" top="0.75" bottom="0.75" header="0.3" footer="0.3"/>
  <pageSetup orientation="portrait" paperSize="9" scale="6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zoomScale="61" zoomScaleNormal="61" zoomScaleSheetLayoutView="61" workbookViewId="0">
      <selection activeCell="I34" sqref="I34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8.5" customWidth="1" style="37" min="4" max="4"/>
    <col width="10.5" customWidth="1" style="28" min="5" max="9"/>
    <col width="10.5" customWidth="1" style="1" min="10" max="10"/>
    <col width="15" customWidth="1" style="1" min="11" max="11"/>
    <col width="21.5" customWidth="1" style="1" min="12" max="12"/>
    <col width="9" customWidth="1" style="1" min="13" max="16384"/>
  </cols>
  <sheetData>
    <row r="1" ht="30" customHeight="1" s="290">
      <c r="A1" s="32" t="n"/>
      <c r="B1" s="42" t="n"/>
      <c r="C1" s="42" t="n"/>
      <c r="D1" s="42" t="n"/>
      <c r="H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2" t="n"/>
      <c r="H2" s="48" t="inlineStr">
        <is>
          <t xml:space="preserve">福岡本社:〒810-0001　</t>
        </is>
      </c>
      <c r="I2" s="2" t="n"/>
      <c r="J2" s="51" t="n"/>
      <c r="K2" s="51" t="n"/>
    </row>
    <row r="3" ht="35.85" customHeight="1" s="290" thickBot="1">
      <c r="A3" s="211" t="inlineStr">
        <is>
          <t>施設名</t>
        </is>
      </c>
      <c r="F3" s="211" t="n"/>
      <c r="G3" s="211" t="n"/>
      <c r="H3" s="48" t="inlineStr">
        <is>
          <t>福岡県福岡市中央区天神２丁目３番１０号　天神パインクレスト719</t>
        </is>
      </c>
      <c r="I3" s="211" t="n"/>
      <c r="J3" s="52" t="n"/>
      <c r="K3" s="52" t="n"/>
    </row>
    <row r="4" ht="35.85" customHeight="1" s="290">
      <c r="A4" s="291" t="inlineStr">
        <is>
          <t>グループホーム
そよかぜ</t>
        </is>
      </c>
      <c r="B4" s="292" t="n"/>
      <c r="C4" s="292" t="n"/>
      <c r="D4" s="293" t="n"/>
      <c r="E4" s="76" t="n"/>
      <c r="F4" s="45" t="n"/>
      <c r="G4" s="45" t="n"/>
      <c r="H4" s="48" t="inlineStr">
        <is>
          <t>東京営業所:〒107-0079</t>
        </is>
      </c>
      <c r="I4" s="45" t="n"/>
      <c r="J4" s="44" t="n"/>
      <c r="K4" s="44" t="n"/>
    </row>
    <row r="5" ht="52.5" customHeight="1" s="290" thickBot="1">
      <c r="A5" s="294" t="n"/>
      <c r="B5" s="295" t="n"/>
      <c r="C5" s="295" t="n"/>
      <c r="D5" s="296" t="n"/>
      <c r="E5" s="76" t="n"/>
      <c r="F5" s="45" t="n"/>
      <c r="G5" s="45" t="n"/>
      <c r="H5" s="49" t="inlineStr">
        <is>
          <t>東京都中央区南青山２丁目２番１５号　ウィン青山942</t>
        </is>
      </c>
      <c r="I5" s="45" t="n"/>
      <c r="J5" s="44" t="n"/>
      <c r="K5" s="44" t="n"/>
    </row>
    <row r="6" ht="50.25" customHeight="1" s="290">
      <c r="A6" s="33" t="n"/>
      <c r="B6" s="34" t="n"/>
      <c r="C6" s="34" t="n"/>
      <c r="D6" s="34" t="n"/>
      <c r="E6" s="30" t="n"/>
      <c r="F6" s="30" t="n"/>
      <c r="G6" s="30" t="n"/>
      <c r="H6" s="50" t="inlineStr">
        <is>
          <t>電話:0120-907-056　Fax:050-3092-0899</t>
        </is>
      </c>
      <c r="I6" s="30" t="n"/>
      <c r="J6" s="44" t="n"/>
      <c r="K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3" t="n"/>
      <c r="H7" s="3" t="n"/>
      <c r="I7" s="3" t="n"/>
      <c r="J7" s="29" t="n"/>
      <c r="K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常食2F</t>
        </is>
      </c>
      <c r="F8" s="299" t="inlineStr">
        <is>
          <t>常食3F</t>
        </is>
      </c>
      <c r="G8" s="299" t="inlineStr">
        <is>
          <t>軟菜2F</t>
        </is>
      </c>
      <c r="H8" s="299" t="inlineStr">
        <is>
          <t>軟菜3F</t>
        </is>
      </c>
      <c r="I8" s="300" t="inlineStr">
        <is>
          <t>ﾐｷｻｰ</t>
        </is>
      </c>
      <c r="J8" s="293" t="n"/>
      <c r="K8" s="301" t="inlineStr">
        <is>
          <t>備考欄</t>
        </is>
      </c>
      <c r="L8" s="293" t="n"/>
    </row>
    <row r="9" ht="28.5" customHeight="1" s="290">
      <c r="A9" s="302" t="n"/>
      <c r="B9" s="303" t="n"/>
      <c r="C9" s="304" t="n"/>
      <c r="D9" s="305" t="n"/>
      <c r="E9" s="306" t="n"/>
      <c r="F9" s="306" t="n"/>
      <c r="G9" s="306" t="n"/>
      <c r="H9" s="306" t="n"/>
      <c r="I9" s="307" t="n"/>
      <c r="J9" s="308" t="n"/>
      <c r="K9" s="307" t="n"/>
      <c r="L9" s="308" t="n"/>
    </row>
    <row r="10" ht="18.6" customHeight="1" s="290">
      <c r="A10" s="302" t="n"/>
      <c r="B10" s="303" t="n"/>
      <c r="C10" s="304" t="n"/>
      <c r="D10" s="305" t="n"/>
      <c r="E10" s="306" t="n"/>
      <c r="F10" s="306" t="n"/>
      <c r="G10" s="306" t="n"/>
      <c r="H10" s="306" t="n"/>
      <c r="I10" s="309" t="n"/>
      <c r="J10" s="310" t="n"/>
      <c r="K10" s="307" t="n"/>
      <c r="L10" s="308" t="n"/>
    </row>
    <row r="11" ht="18.6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315" t="n"/>
      <c r="I11" s="234" t="inlineStr">
        <is>
          <t>2F</t>
        </is>
      </c>
      <c r="J11" s="234" t="inlineStr">
        <is>
          <t>3F</t>
        </is>
      </c>
      <c r="K11" s="294" t="n"/>
      <c r="L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>
        <v>3</v>
      </c>
      <c r="F12" s="319" t="n">
        <v>5</v>
      </c>
      <c r="G12" s="319" t="n">
        <v>4</v>
      </c>
      <c r="H12" s="324" t="n">
        <v>2</v>
      </c>
      <c r="I12" s="324" t="n">
        <v>2</v>
      </c>
      <c r="J12" s="324" t="n">
        <v>2</v>
      </c>
      <c r="K12" s="341" t="n"/>
      <c r="L12" s="342" t="n"/>
    </row>
    <row r="13" ht="23.45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24" t="n">
        <v>3</v>
      </c>
      <c r="F13" s="324" t="n">
        <v>5</v>
      </c>
      <c r="G13" s="324" t="n">
        <v>4</v>
      </c>
      <c r="H13" s="324" t="n">
        <v>2</v>
      </c>
      <c r="I13" s="324" t="n">
        <v>2</v>
      </c>
      <c r="J13" s="324" t="n">
        <v>2</v>
      </c>
      <c r="K13" s="10" t="n"/>
      <c r="L13" s="11" t="n"/>
    </row>
    <row r="14" ht="23.4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324" t="n">
        <v>3</v>
      </c>
      <c r="F14" s="324" t="n">
        <v>5</v>
      </c>
      <c r="G14" s="324" t="n">
        <v>4</v>
      </c>
      <c r="H14" s="324" t="n">
        <v>2</v>
      </c>
      <c r="I14" s="324" t="n">
        <v>2</v>
      </c>
      <c r="J14" s="324" t="n">
        <v>2</v>
      </c>
      <c r="K14" s="68" t="n"/>
      <c r="L14" s="15" t="n"/>
    </row>
    <row r="15" ht="23.45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3</v>
      </c>
      <c r="F15" s="324" t="n">
        <v>5</v>
      </c>
      <c r="G15" s="324" t="n">
        <v>4</v>
      </c>
      <c r="H15" s="324" t="n">
        <v>2</v>
      </c>
      <c r="I15" s="324" t="n">
        <v>2</v>
      </c>
      <c r="J15" s="324" t="n">
        <v>2</v>
      </c>
      <c r="K15" s="285" t="n"/>
      <c r="L15" s="328" t="n"/>
    </row>
    <row r="16" ht="23.45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19" t="n">
        <v>3</v>
      </c>
      <c r="F16" s="19" t="n">
        <v>5</v>
      </c>
      <c r="G16" s="19" t="n">
        <v>4</v>
      </c>
      <c r="H16" s="19" t="n">
        <v>2</v>
      </c>
      <c r="I16" s="19" t="n">
        <v>2</v>
      </c>
      <c r="J16" s="19" t="n">
        <v>2</v>
      </c>
      <c r="K16" s="329" t="n"/>
      <c r="L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24" t="n">
        <v>3</v>
      </c>
      <c r="F17" s="324" t="n">
        <v>5</v>
      </c>
      <c r="G17" s="324" t="n">
        <v>4</v>
      </c>
      <c r="H17" s="324" t="n">
        <v>2</v>
      </c>
      <c r="I17" s="324" t="n">
        <v>2</v>
      </c>
      <c r="J17" s="324" t="n">
        <v>2</v>
      </c>
      <c r="K17" s="68" t="n"/>
      <c r="L17" s="15" t="n"/>
    </row>
    <row r="18" ht="23.45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3</v>
      </c>
      <c r="F18" s="324" t="n">
        <v>5</v>
      </c>
      <c r="G18" s="324" t="n">
        <v>4</v>
      </c>
      <c r="H18" s="324" t="n">
        <v>2</v>
      </c>
      <c r="I18" s="324" t="n">
        <v>2</v>
      </c>
      <c r="J18" s="324" t="n">
        <v>2</v>
      </c>
      <c r="K18" s="285" t="n"/>
      <c r="L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3</v>
      </c>
      <c r="F19" s="201" t="n">
        <v>5</v>
      </c>
      <c r="G19" s="201" t="n">
        <v>4</v>
      </c>
      <c r="H19" s="201" t="n">
        <v>2</v>
      </c>
      <c r="I19" s="201" t="n">
        <v>2</v>
      </c>
      <c r="J19" s="201" t="n">
        <v>2</v>
      </c>
      <c r="K19" s="333" t="n"/>
      <c r="L19" s="334" t="n"/>
    </row>
    <row r="20"/>
    <row r="21"/>
    <row r="22"/>
    <row r="23"/>
    <row r="24"/>
    <row r="25"/>
    <row r="26"/>
    <row r="27"/>
    <row r="28"/>
    <row r="29"/>
    <row r="30"/>
    <row r="31" ht="18" customHeight="1" s="290">
      <c r="L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17">
    <mergeCell ref="K8:L11"/>
    <mergeCell ref="B17:B19"/>
    <mergeCell ref="A12:A16"/>
    <mergeCell ref="D8:D11"/>
    <mergeCell ref="B12:B13"/>
    <mergeCell ref="A17:A19"/>
    <mergeCell ref="I8:J10"/>
    <mergeCell ref="A8:A11"/>
    <mergeCell ref="H8:H11"/>
    <mergeCell ref="F8:F11"/>
    <mergeCell ref="A4:D5"/>
    <mergeCell ref="E8:E11"/>
    <mergeCell ref="B14:B16"/>
    <mergeCell ref="G8:G11"/>
    <mergeCell ref="B8:C11"/>
    <mergeCell ref="A2:C2"/>
    <mergeCell ref="A3:E3"/>
  </mergeCells>
  <printOptions horizontalCentered="1" verticalCentered="1"/>
  <pageMargins left="0.25" right="0.25" top="0.75" bottom="0.75" header="0.3" footer="0.3"/>
  <pageSetup orientation="portrait" paperSize="9" scale="6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zoomScale="61" zoomScaleNormal="61" zoomScaleSheetLayoutView="61" workbookViewId="0">
      <selection activeCell="G40" sqref="G40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6.875" customWidth="1" style="37" min="4" max="4"/>
    <col width="13.625" customWidth="1" style="28" min="5" max="5"/>
    <col width="13.875" customWidth="1" style="28" min="6" max="7"/>
    <col width="17.75" customWidth="1" style="1" min="8" max="8"/>
    <col width="22.125" customWidth="1" style="1" min="9" max="9"/>
    <col width="9" customWidth="1" style="1" min="10" max="16384"/>
  </cols>
  <sheetData>
    <row r="1" ht="30" customHeight="1" s="290">
      <c r="A1" s="32" t="n"/>
      <c r="B1" s="42" t="n"/>
      <c r="C1" s="42" t="n"/>
      <c r="D1" s="42" t="n"/>
      <c r="G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51" t="n"/>
      <c r="G2" s="48" t="inlineStr">
        <is>
          <t xml:space="preserve">福岡本社:〒810-0001　</t>
        </is>
      </c>
      <c r="H2" s="51" t="n"/>
      <c r="I2" s="51" t="n"/>
    </row>
    <row r="3" ht="35.85" customHeight="1" s="290" thickBot="1">
      <c r="A3" s="211" t="inlineStr">
        <is>
          <t>施設名</t>
        </is>
      </c>
      <c r="F3" s="52" t="n"/>
      <c r="G3" s="48" t="inlineStr">
        <is>
          <t>福岡県福岡市中央区天神２丁目３番１０号　天神パインクレスト719</t>
        </is>
      </c>
      <c r="H3" s="52" t="n"/>
      <c r="I3" s="52" t="n"/>
    </row>
    <row r="4" ht="35.85" customHeight="1" s="290">
      <c r="A4" s="343" t="inlineStr">
        <is>
          <t>グランフォレスト方上</t>
        </is>
      </c>
      <c r="B4" s="292" t="n"/>
      <c r="C4" s="292" t="n"/>
      <c r="D4" s="293" t="n"/>
      <c r="E4" s="76" t="n"/>
      <c r="F4" s="44" t="n"/>
      <c r="G4" s="48" t="inlineStr">
        <is>
          <t>東京営業所:〒107-0079</t>
        </is>
      </c>
      <c r="H4" s="44" t="n"/>
      <c r="I4" s="44" t="n"/>
    </row>
    <row r="5" ht="35.85" customHeight="1" s="290" thickBot="1">
      <c r="A5" s="294" t="n"/>
      <c r="B5" s="295" t="n"/>
      <c r="C5" s="295" t="n"/>
      <c r="D5" s="296" t="n"/>
      <c r="E5" s="76" t="n"/>
      <c r="F5" s="44" t="n"/>
      <c r="G5" s="49" t="inlineStr">
        <is>
          <t>東京都中央区南青山２丁目２番１５号　ウィン青山942</t>
        </is>
      </c>
      <c r="H5" s="44" t="n"/>
      <c r="I5" s="44" t="n"/>
    </row>
    <row r="6" ht="35.85" customHeight="1" s="290">
      <c r="A6" s="33" t="n"/>
      <c r="B6" s="34" t="n"/>
      <c r="C6" s="34" t="n"/>
      <c r="D6" s="34" t="n"/>
      <c r="E6" s="30" t="n"/>
      <c r="F6" s="44" t="n"/>
      <c r="G6" s="50" t="inlineStr">
        <is>
          <t>電話:0120-907-056　Fax:050-3092-0899</t>
        </is>
      </c>
      <c r="H6" s="44" t="n"/>
      <c r="I6" s="44" t="n"/>
    </row>
    <row r="7" ht="15.75" customHeight="1" s="290" thickBot="1">
      <c r="A7" s="35" t="n"/>
      <c r="B7" s="36" t="n"/>
      <c r="C7" s="36" t="n"/>
      <c r="D7" s="36" t="n"/>
      <c r="E7" s="3" t="n"/>
      <c r="F7" s="29" t="n"/>
      <c r="G7" s="29" t="n"/>
      <c r="H7" s="29" t="n"/>
      <c r="I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</t>
        </is>
      </c>
      <c r="F8" s="339" t="inlineStr">
        <is>
          <t>禁食　【　常食　・　小口　】</t>
        </is>
      </c>
      <c r="G8" s="293" t="n"/>
      <c r="H8" s="301" t="inlineStr">
        <is>
          <t>備考欄</t>
        </is>
      </c>
      <c r="I8" s="293" t="n"/>
    </row>
    <row r="9" ht="28.5" customHeight="1" s="290" thickBot="1">
      <c r="A9" s="302" t="n"/>
      <c r="B9" s="303" t="n"/>
      <c r="C9" s="304" t="n"/>
      <c r="D9" s="305" t="n"/>
      <c r="E9" s="306" t="n"/>
      <c r="F9" s="294" t="n"/>
      <c r="G9" s="296" t="n"/>
      <c r="H9" s="307" t="n"/>
      <c r="I9" s="308" t="n"/>
    </row>
    <row r="10" ht="18.6" customHeight="1" s="290">
      <c r="A10" s="302" t="n"/>
      <c r="B10" s="303" t="n"/>
      <c r="C10" s="304" t="n"/>
      <c r="D10" s="305" t="n"/>
      <c r="E10" s="306" t="n"/>
      <c r="F10" s="234" t="inlineStr">
        <is>
          <t>肉禁</t>
        </is>
      </c>
      <c r="G10" s="234" t="inlineStr">
        <is>
          <t>魚禁</t>
        </is>
      </c>
      <c r="H10" s="307" t="n"/>
      <c r="I10" s="308" t="n"/>
    </row>
    <row r="11" ht="18.6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294" t="n"/>
      <c r="I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>
        <v>48</v>
      </c>
      <c r="F12" s="119" t="n"/>
      <c r="G12" s="119" t="n"/>
      <c r="H12" s="321" t="n"/>
      <c r="I12" s="322" t="n"/>
    </row>
    <row r="13" ht="23.25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24" t="n">
        <v>48</v>
      </c>
      <c r="F13" s="344" t="n"/>
      <c r="G13" s="345" t="n"/>
      <c r="H13" s="329" t="n"/>
      <c r="I13" s="11" t="n"/>
    </row>
    <row r="14" ht="23.4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324" t="n">
        <v>44</v>
      </c>
      <c r="F14" s="121" t="n">
        <v>3</v>
      </c>
      <c r="G14" s="128" t="n"/>
      <c r="H14" s="68" t="n"/>
      <c r="I14" s="160" t="n"/>
    </row>
    <row r="15" ht="23.45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47</v>
      </c>
      <c r="F15" s="344" t="n"/>
      <c r="G15" s="344" t="n"/>
      <c r="H15" s="285" t="n"/>
      <c r="I15" s="328" t="n"/>
    </row>
    <row r="16" ht="23.45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19" t="n">
        <v>47</v>
      </c>
      <c r="F16" s="121" t="n"/>
      <c r="G16" s="121" t="n"/>
      <c r="H16" s="329" t="n"/>
      <c r="I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24" t="n">
        <v>46</v>
      </c>
      <c r="F17" s="344" t="n">
        <v>1</v>
      </c>
      <c r="G17" s="110" t="n"/>
      <c r="H17" s="68" t="n"/>
      <c r="I17" s="15" t="n"/>
    </row>
    <row r="18" ht="23.45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47</v>
      </c>
      <c r="F18" s="344" t="n"/>
      <c r="G18" s="344" t="n"/>
      <c r="H18" s="285" t="n"/>
      <c r="I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47</v>
      </c>
      <c r="F19" s="123" t="n"/>
      <c r="G19" s="123" t="n"/>
      <c r="H19" s="333" t="n"/>
      <c r="I19" s="334" t="n"/>
    </row>
    <row r="20"/>
    <row r="21"/>
    <row r="22"/>
    <row r="23"/>
    <row r="24"/>
    <row r="25" ht="18" customHeight="1" s="290">
      <c r="D25" s="1" t="n"/>
      <c r="E25" s="1" t="n"/>
      <c r="F25" s="1" t="n"/>
      <c r="G25" s="1" t="n"/>
    </row>
    <row r="26" ht="18" customHeight="1" s="290">
      <c r="D26" s="1" t="n"/>
      <c r="E26" s="1" t="n"/>
      <c r="F26" s="1" t="n"/>
      <c r="G26" s="1" t="n"/>
    </row>
    <row r="27"/>
    <row r="28"/>
    <row r="29"/>
    <row r="30"/>
    <row r="31" ht="18" customHeight="1" s="290">
      <c r="K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17">
    <mergeCell ref="F8:G9"/>
    <mergeCell ref="H12:I12"/>
    <mergeCell ref="B17:B19"/>
    <mergeCell ref="A12:A16"/>
    <mergeCell ref="D8:D11"/>
    <mergeCell ref="B12:B13"/>
    <mergeCell ref="A17:A19"/>
    <mergeCell ref="A8:A11"/>
    <mergeCell ref="E8:E11"/>
    <mergeCell ref="A4:D5"/>
    <mergeCell ref="B14:B16"/>
    <mergeCell ref="G10:G11"/>
    <mergeCell ref="H8:I11"/>
    <mergeCell ref="F10:F11"/>
    <mergeCell ref="B8:C11"/>
    <mergeCell ref="A2:C2"/>
    <mergeCell ref="A3:E3"/>
  </mergeCells>
  <printOptions horizontalCentered="1" verticalCentered="1"/>
  <pageMargins left="0.25" right="0.25" top="0.75" bottom="0.75" header="0.3" footer="0.3"/>
  <pageSetup orientation="portrait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8"/>
  <sheetViews>
    <sheetView zoomScale="61" zoomScaleNormal="61" zoomScaleSheetLayoutView="61" workbookViewId="0">
      <selection activeCell="K38" sqref="K38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7.375" customWidth="1" style="37" min="4" max="4"/>
    <col width="10.625" customWidth="1" style="28" min="5" max="9"/>
    <col width="17.75" customWidth="1" style="1" min="10" max="10"/>
    <col width="22.125" customWidth="1" style="1" min="11" max="11"/>
    <col width="9" customWidth="1" style="1" min="12" max="16384"/>
  </cols>
  <sheetData>
    <row r="1" ht="30" customHeight="1" s="290">
      <c r="A1" s="32" t="n"/>
      <c r="B1" s="42" t="n"/>
      <c r="C1" s="42" t="n"/>
      <c r="D1" s="42" t="n"/>
      <c r="I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2" t="n"/>
      <c r="H2" s="51" t="n"/>
      <c r="I2" s="48" t="inlineStr">
        <is>
          <t xml:space="preserve">福岡本社:〒810-0001　</t>
        </is>
      </c>
      <c r="J2" s="51" t="n"/>
      <c r="K2" s="51" t="n"/>
    </row>
    <row r="3" ht="35.85" customHeight="1" s="290" thickBot="1">
      <c r="A3" s="211" t="inlineStr">
        <is>
          <t>施設名</t>
        </is>
      </c>
      <c r="F3" s="211" t="n"/>
      <c r="G3" s="211" t="n"/>
      <c r="H3" s="52" t="n"/>
      <c r="I3" s="48" t="inlineStr">
        <is>
          <t>福岡県福岡市中央区天神２丁目３番１０号　天神パインクレスト719</t>
        </is>
      </c>
      <c r="J3" s="52" t="n"/>
      <c r="K3" s="52" t="n"/>
    </row>
    <row r="4" ht="35.85" customHeight="1" s="290">
      <c r="A4" s="291" t="inlineStr">
        <is>
          <t xml:space="preserve">藍ＴＥＲＲＡＣＥ
</t>
        </is>
      </c>
      <c r="B4" s="292" t="n"/>
      <c r="C4" s="292" t="n"/>
      <c r="D4" s="293" t="n"/>
      <c r="E4" s="76" t="n"/>
      <c r="F4" s="45" t="n"/>
      <c r="G4" s="45" t="n"/>
      <c r="H4" s="44" t="n"/>
      <c r="I4" s="48" t="inlineStr">
        <is>
          <t>東京営業所:〒107-0079</t>
        </is>
      </c>
      <c r="J4" s="44" t="n"/>
      <c r="K4" s="44" t="n"/>
    </row>
    <row r="5" ht="35.85" customHeight="1" s="290" thickBot="1">
      <c r="A5" s="294" t="n"/>
      <c r="B5" s="295" t="n"/>
      <c r="C5" s="295" t="n"/>
      <c r="D5" s="296" t="n"/>
      <c r="E5" s="76" t="n"/>
      <c r="F5" s="45" t="n"/>
      <c r="G5" s="45" t="n"/>
      <c r="H5" s="44" t="n"/>
      <c r="I5" s="49" t="inlineStr">
        <is>
          <t>東京都中央区南青山２丁目２番１５号　ウィン青山942</t>
        </is>
      </c>
      <c r="J5" s="44" t="n"/>
      <c r="K5" s="44" t="n"/>
    </row>
    <row r="6" ht="35.85" customHeight="1" s="290">
      <c r="A6" s="33" t="n"/>
      <c r="B6" s="34" t="n"/>
      <c r="C6" s="34" t="n"/>
      <c r="D6" s="34" t="n"/>
      <c r="E6" s="30" t="n"/>
      <c r="F6" s="30" t="n"/>
      <c r="G6" s="30" t="n"/>
      <c r="H6" s="44" t="n"/>
      <c r="I6" s="50" t="inlineStr">
        <is>
          <t>電話:0120-907-056　Fax:050-3092-0899</t>
        </is>
      </c>
      <c r="J6" s="44" t="n"/>
      <c r="K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3" t="n"/>
      <c r="H7" s="29" t="n"/>
      <c r="I7" s="29" t="n"/>
      <c r="J7" s="29" t="n"/>
      <c r="K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346" t="inlineStr">
        <is>
          <t>常食</t>
        </is>
      </c>
      <c r="F8" s="347" t="inlineStr">
        <is>
          <t>軟菜</t>
        </is>
      </c>
      <c r="G8" s="299" t="inlineStr">
        <is>
          <t>ミキサー</t>
        </is>
      </c>
      <c r="H8" s="339" t="inlineStr">
        <is>
          <t>禁食　【　常食　・　小口　】</t>
        </is>
      </c>
      <c r="I8" s="293" t="n"/>
      <c r="J8" s="301" t="inlineStr">
        <is>
          <t>備考欄</t>
        </is>
      </c>
      <c r="K8" s="293" t="n"/>
    </row>
    <row r="9" ht="28.5" customHeight="1" s="290" thickBot="1">
      <c r="A9" s="302" t="n"/>
      <c r="B9" s="303" t="n"/>
      <c r="C9" s="304" t="n"/>
      <c r="D9" s="305" t="n"/>
      <c r="E9" s="306" t="n"/>
      <c r="F9" s="306" t="n"/>
      <c r="G9" s="306" t="n"/>
      <c r="H9" s="294" t="n"/>
      <c r="I9" s="296" t="n"/>
      <c r="J9" s="307" t="n"/>
      <c r="K9" s="308" t="n"/>
    </row>
    <row r="10" ht="15" customHeight="1" s="290">
      <c r="A10" s="302" t="n"/>
      <c r="B10" s="303" t="n"/>
      <c r="C10" s="304" t="n"/>
      <c r="D10" s="305" t="n"/>
      <c r="E10" s="348" t="n"/>
      <c r="F10" s="306" t="n"/>
      <c r="G10" s="306" t="n"/>
      <c r="H10" s="234" t="inlineStr">
        <is>
          <t>肉禁</t>
        </is>
      </c>
      <c r="I10" s="234" t="inlineStr">
        <is>
          <t>魚禁</t>
        </is>
      </c>
      <c r="J10" s="307" t="n"/>
      <c r="K10" s="308" t="n"/>
    </row>
    <row r="11" ht="23.25" customHeight="1" s="290" thickBot="1">
      <c r="A11" s="311" t="n"/>
      <c r="B11" s="312" t="n"/>
      <c r="C11" s="313" t="n"/>
      <c r="D11" s="314" t="n"/>
      <c r="E11" s="167" t="inlineStr">
        <is>
          <t>通常</t>
        </is>
      </c>
      <c r="F11" s="315" t="n"/>
      <c r="G11" s="315" t="n"/>
      <c r="H11" s="315" t="n"/>
      <c r="I11" s="315" t="n"/>
      <c r="J11" s="294" t="n"/>
      <c r="K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>
        <v>13</v>
      </c>
      <c r="F12" s="199" t="n">
        <v>2</v>
      </c>
      <c r="G12" s="199" t="n">
        <v>2</v>
      </c>
      <c r="H12" s="119" t="n"/>
      <c r="I12" s="119" t="n"/>
      <c r="J12" s="321" t="n"/>
      <c r="K12" s="322" t="n"/>
    </row>
    <row r="13" ht="23.25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24" t="n">
        <v>13</v>
      </c>
      <c r="F13" s="324" t="n">
        <v>2</v>
      </c>
      <c r="G13" s="324" t="n">
        <v>2</v>
      </c>
      <c r="H13" s="344" t="n"/>
      <c r="I13" s="344" t="n"/>
      <c r="J13" s="10" t="n"/>
      <c r="K13" s="11" t="n"/>
    </row>
    <row r="14" ht="23.4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324" t="n">
        <v>13</v>
      </c>
      <c r="F14" s="19" t="n">
        <v>2</v>
      </c>
      <c r="G14" s="19" t="n">
        <v>2</v>
      </c>
      <c r="H14" s="121" t="n"/>
      <c r="I14" s="104" t="n"/>
      <c r="J14" s="68" t="n"/>
      <c r="K14" s="15" t="n"/>
    </row>
    <row r="15" ht="23.45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13</v>
      </c>
      <c r="F15" s="324" t="n">
        <v>2</v>
      </c>
      <c r="G15" s="324" t="n">
        <v>2</v>
      </c>
      <c r="H15" s="344" t="n"/>
      <c r="I15" s="344" t="n"/>
      <c r="J15" s="285" t="n"/>
      <c r="K15" s="328" t="n"/>
    </row>
    <row r="16" ht="23.45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19" t="n">
        <v>13</v>
      </c>
      <c r="F16" s="19" t="n">
        <v>2</v>
      </c>
      <c r="G16" s="19" t="n">
        <v>2</v>
      </c>
      <c r="H16" s="121" t="n"/>
      <c r="I16" s="121" t="n"/>
      <c r="J16" s="329" t="n"/>
      <c r="K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24" t="n">
        <v>13</v>
      </c>
      <c r="F17" s="324" t="n">
        <v>2</v>
      </c>
      <c r="G17" s="324" t="n">
        <v>2</v>
      </c>
      <c r="H17" s="121" t="n"/>
      <c r="I17" s="110" t="n"/>
      <c r="J17" s="68" t="n"/>
      <c r="K17" s="15" t="n"/>
    </row>
    <row r="18" ht="23.45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13</v>
      </c>
      <c r="F18" s="324" t="n">
        <v>2</v>
      </c>
      <c r="G18" s="324" t="n">
        <v>2</v>
      </c>
      <c r="H18" s="344" t="n"/>
      <c r="I18" s="344" t="n"/>
      <c r="J18" s="285" t="n"/>
      <c r="K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13</v>
      </c>
      <c r="F19" s="201" t="n">
        <v>2</v>
      </c>
      <c r="G19" s="201" t="n">
        <v>2</v>
      </c>
      <c r="H19" s="123" t="n"/>
      <c r="I19" s="123" t="n"/>
      <c r="J19" s="333" t="n"/>
      <c r="K19" s="334" t="n"/>
    </row>
    <row r="20"/>
    <row r="21"/>
    <row r="22"/>
    <row r="23"/>
    <row r="24"/>
    <row r="25"/>
    <row r="26"/>
    <row r="27"/>
    <row r="28"/>
    <row r="29"/>
    <row r="30"/>
    <row r="31" ht="18" customHeight="1" s="290">
      <c r="M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19">
    <mergeCell ref="A12:A16"/>
    <mergeCell ref="B12:B13"/>
    <mergeCell ref="A17:A19"/>
    <mergeCell ref="G8:G11"/>
    <mergeCell ref="A2:C2"/>
    <mergeCell ref="F8:F11"/>
    <mergeCell ref="H8:I9"/>
    <mergeCell ref="A3:E3"/>
    <mergeCell ref="J8:K11"/>
    <mergeCell ref="E8:E10"/>
    <mergeCell ref="A8:A11"/>
    <mergeCell ref="A4:D5"/>
    <mergeCell ref="I10:I11"/>
    <mergeCell ref="B17:B19"/>
    <mergeCell ref="J12:K12"/>
    <mergeCell ref="D8:D11"/>
    <mergeCell ref="B14:B16"/>
    <mergeCell ref="B8:C11"/>
    <mergeCell ref="H10:H11"/>
  </mergeCells>
  <printOptions horizontalCentered="1" verticalCentered="1"/>
  <pageMargins left="0.25" right="0.25" top="0.75" bottom="0.75" header="0.3" footer="0.3"/>
  <pageSetup orientation="portrait" paperSize="9" scale="6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topLeftCell="A4" zoomScale="61" zoomScaleNormal="61" zoomScaleSheetLayoutView="61" workbookViewId="0">
      <selection activeCell="J47" sqref="J47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9" customWidth="1" style="37" min="4" max="4"/>
    <col width="11.625" customWidth="1" style="28" min="5" max="8"/>
    <col width="15.25" customWidth="1" style="1" min="9" max="9"/>
    <col width="20.125" customWidth="1" style="1" min="10" max="10"/>
    <col width="9" customWidth="1" style="1" min="11" max="16384"/>
  </cols>
  <sheetData>
    <row r="1" ht="30" customHeight="1" s="290">
      <c r="A1" s="32" t="n"/>
      <c r="B1" s="42" t="n"/>
      <c r="C1" s="42" t="n"/>
      <c r="D1" s="42" t="n"/>
      <c r="H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51" t="n"/>
      <c r="H2" s="48" t="inlineStr">
        <is>
          <t xml:space="preserve">福岡本社:〒810-0001　</t>
        </is>
      </c>
      <c r="I2" s="51" t="n"/>
      <c r="J2" s="51" t="n"/>
    </row>
    <row r="3" ht="35.85" customHeight="1" s="290" thickBot="1">
      <c r="A3" s="211" t="inlineStr">
        <is>
          <t>施設名</t>
        </is>
      </c>
      <c r="F3" s="211" t="n"/>
      <c r="G3" s="52" t="n"/>
      <c r="H3" s="48" t="inlineStr">
        <is>
          <t>福岡県福岡市中央区天神２丁目３番１０号　天神パインクレスト719</t>
        </is>
      </c>
      <c r="I3" s="52" t="n"/>
      <c r="J3" s="52" t="n"/>
    </row>
    <row r="4" ht="35.85" customHeight="1" s="290">
      <c r="A4" s="338" t="inlineStr">
        <is>
          <t>池袋病院</t>
        </is>
      </c>
      <c r="B4" s="292" t="n"/>
      <c r="C4" s="292" t="n"/>
      <c r="D4" s="293" t="n"/>
      <c r="E4" s="77" t="n"/>
      <c r="F4" s="56" t="n"/>
      <c r="G4" s="44" t="n"/>
      <c r="H4" s="48" t="inlineStr">
        <is>
          <t>東京営業所:〒107-0079</t>
        </is>
      </c>
      <c r="I4" s="44" t="n"/>
      <c r="J4" s="44" t="n"/>
    </row>
    <row r="5" ht="35.85" customHeight="1" s="290" thickBot="1">
      <c r="A5" s="294" t="n"/>
      <c r="B5" s="295" t="n"/>
      <c r="C5" s="295" t="n"/>
      <c r="D5" s="296" t="n"/>
      <c r="E5" s="77" t="n"/>
      <c r="F5" s="56" t="n"/>
      <c r="G5" s="44" t="n"/>
      <c r="H5" s="49" t="inlineStr">
        <is>
          <t>東京都中央区南青山２丁目２番１５号　ウィン青山942</t>
        </is>
      </c>
      <c r="I5" s="44" t="n"/>
      <c r="J5" s="44" t="n"/>
    </row>
    <row r="6" ht="35.85" customHeight="1" s="290">
      <c r="A6" s="33" t="n"/>
      <c r="B6" s="34" t="n"/>
      <c r="C6" s="34" t="n"/>
      <c r="D6" s="34" t="n"/>
      <c r="E6" s="30" t="n"/>
      <c r="F6" s="30" t="n"/>
      <c r="G6" s="44" t="n"/>
      <c r="H6" s="50" t="inlineStr">
        <is>
          <t>電話:0120-907-056　Fax:050-3092-0899</t>
        </is>
      </c>
      <c r="I6" s="44" t="n"/>
      <c r="J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29" t="n"/>
      <c r="H7" s="29" t="n"/>
      <c r="I7" s="29" t="n"/>
      <c r="J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軟菜</t>
        </is>
      </c>
      <c r="F8" s="299" t="inlineStr">
        <is>
          <t>袋分け</t>
        </is>
      </c>
      <c r="G8" s="339" t="inlineStr">
        <is>
          <t>禁食　【　常食　・　小口　】</t>
        </is>
      </c>
      <c r="H8" s="293" t="n"/>
      <c r="I8" s="301" t="inlineStr">
        <is>
          <t>備考欄</t>
        </is>
      </c>
      <c r="J8" s="293" t="n"/>
    </row>
    <row r="9" ht="28.5" customHeight="1" s="290" thickBot="1">
      <c r="A9" s="302" t="n"/>
      <c r="B9" s="303" t="n"/>
      <c r="C9" s="304" t="n"/>
      <c r="D9" s="305" t="n"/>
      <c r="E9" s="306" t="n"/>
      <c r="F9" s="306" t="n"/>
      <c r="G9" s="294" t="n"/>
      <c r="H9" s="296" t="n"/>
      <c r="I9" s="307" t="n"/>
      <c r="J9" s="308" t="n"/>
    </row>
    <row r="10" ht="18.6" customHeight="1" s="290">
      <c r="A10" s="302" t="n"/>
      <c r="B10" s="303" t="n"/>
      <c r="C10" s="304" t="n"/>
      <c r="D10" s="305" t="n"/>
      <c r="E10" s="306" t="n"/>
      <c r="F10" s="306" t="n"/>
      <c r="G10" s="234" t="inlineStr">
        <is>
          <t>肉禁</t>
        </is>
      </c>
      <c r="H10" s="234" t="inlineStr">
        <is>
          <t>魚禁</t>
        </is>
      </c>
      <c r="I10" s="307" t="n"/>
      <c r="J10" s="308" t="n"/>
    </row>
    <row r="11" ht="18.6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315" t="n"/>
      <c r="I11" s="294" t="n"/>
      <c r="J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>
        <v>0</v>
      </c>
      <c r="F12" s="199" t="n">
        <v>0</v>
      </c>
      <c r="G12" s="5" t="n"/>
      <c r="H12" s="5" t="n"/>
      <c r="I12" s="341" t="n"/>
      <c r="J12" s="342" t="n"/>
    </row>
    <row r="13" ht="23.45" customHeight="1" s="290">
      <c r="A13" s="302" t="n"/>
      <c r="B13" s="323" t="n"/>
      <c r="C13" s="205" t="inlineStr">
        <is>
          <t>副②</t>
        </is>
      </c>
      <c r="D13" s="105" t="inlineStr">
        <is>
          <t>ｲﾝｹﾞﾝのﾂﾅ和え</t>
        </is>
      </c>
      <c r="E13" s="324" t="n">
        <v>0</v>
      </c>
      <c r="F13" s="324" t="n">
        <v>0</v>
      </c>
      <c r="G13" s="340" t="n"/>
      <c r="H13" s="340" t="n"/>
      <c r="I13" s="10" t="n"/>
      <c r="J13" s="11" t="n"/>
    </row>
    <row r="14" ht="23.4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 t="inlineStr">
        <is>
          <t>鶏肉のレモン炒め</t>
        </is>
      </c>
      <c r="E14" s="324" t="n">
        <v>0</v>
      </c>
      <c r="F14" s="19" t="n">
        <v>0</v>
      </c>
      <c r="G14" s="20" t="n"/>
      <c r="H14" s="14" t="n"/>
      <c r="I14" s="68" t="n"/>
      <c r="J14" s="15" t="n"/>
    </row>
    <row r="15" ht="23.45" customHeight="1" s="290">
      <c r="A15" s="302" t="n"/>
      <c r="B15" s="327" t="n"/>
      <c r="C15" s="325" t="inlineStr">
        <is>
          <t>副①</t>
        </is>
      </c>
      <c r="D15" s="326" t="inlineStr">
        <is>
          <t>里芋の土佐煮</t>
        </is>
      </c>
      <c r="E15" s="324" t="n">
        <v>0</v>
      </c>
      <c r="F15" s="19" t="n">
        <v>0</v>
      </c>
      <c r="G15" s="340" t="n"/>
      <c r="H15" s="340" t="n"/>
      <c r="I15" s="285" t="n"/>
      <c r="J15" s="328" t="n"/>
    </row>
    <row r="16" ht="23.45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324" t="n">
        <v>0</v>
      </c>
      <c r="F16" s="324" t="n">
        <v>0</v>
      </c>
      <c r="G16" s="20" t="n"/>
      <c r="H16" s="20" t="n"/>
      <c r="I16" s="329" t="n"/>
      <c r="J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 t="inlineStr">
        <is>
          <t>豚肉のｶﾞｰﾘｯｸｿﾃｰ</t>
        </is>
      </c>
      <c r="E17" s="324" t="n">
        <v>0</v>
      </c>
      <c r="F17" s="19" t="n">
        <v>0</v>
      </c>
      <c r="G17" s="340" t="n"/>
      <c r="H17" s="24" t="n"/>
      <c r="I17" s="68" t="n"/>
      <c r="J17" s="15" t="n"/>
    </row>
    <row r="18" ht="23.45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0</v>
      </c>
      <c r="F18" s="19" t="n">
        <v>0</v>
      </c>
      <c r="G18" s="340" t="n"/>
      <c r="H18" s="340" t="n"/>
      <c r="I18" s="285" t="n"/>
      <c r="J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0</v>
      </c>
      <c r="F19" s="201" t="n">
        <v>0</v>
      </c>
      <c r="G19" s="25" t="n"/>
      <c r="H19" s="25" t="n"/>
      <c r="I19" s="333" t="n"/>
      <c r="J19" s="334" t="n"/>
    </row>
    <row r="20"/>
    <row r="21"/>
    <row r="22"/>
    <row r="23"/>
    <row r="24"/>
    <row r="25"/>
    <row r="26"/>
    <row r="27"/>
    <row r="28"/>
    <row r="29"/>
    <row r="30"/>
    <row r="31" ht="18" customHeight="1" s="290">
      <c r="L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17">
    <mergeCell ref="A12:A16"/>
    <mergeCell ref="B17:B19"/>
    <mergeCell ref="D8:D11"/>
    <mergeCell ref="A8:A11"/>
    <mergeCell ref="A17:A19"/>
    <mergeCell ref="E8:E11"/>
    <mergeCell ref="B12:B13"/>
    <mergeCell ref="A2:C2"/>
    <mergeCell ref="A4:D5"/>
    <mergeCell ref="F8:F11"/>
    <mergeCell ref="B14:B16"/>
    <mergeCell ref="A3:E3"/>
    <mergeCell ref="B8:C11"/>
    <mergeCell ref="G8:H9"/>
    <mergeCell ref="H10:H11"/>
    <mergeCell ref="G10:G11"/>
    <mergeCell ref="I8:J11"/>
  </mergeCells>
  <printOptions horizontalCentered="1" verticalCentered="1"/>
  <pageMargins left="0.25" right="0.25" top="0.75" bottom="0.75" header="0.3" footer="0.3"/>
  <pageSetup orientation="portrait" paperSize="9" scale="6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topLeftCell="A4" zoomScale="61" zoomScaleNormal="61" zoomScaleSheetLayoutView="61" workbookViewId="0">
      <selection activeCell="J43" sqref="J43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9" customWidth="1" style="37" min="4" max="4"/>
    <col width="13.625" customWidth="1" style="28" min="5" max="5"/>
    <col width="14.375" customWidth="1" style="28" min="6" max="7"/>
    <col width="17.75" customWidth="1" style="1" min="8" max="8"/>
    <col width="22.125" customWidth="1" style="1" min="9" max="9"/>
    <col width="9" customWidth="1" style="1" min="10" max="16384"/>
  </cols>
  <sheetData>
    <row r="1" ht="30" customHeight="1" s="290">
      <c r="A1" s="32" t="n"/>
      <c r="B1" s="42" t="n"/>
      <c r="C1" s="42" t="n"/>
      <c r="D1" s="42" t="n"/>
      <c r="G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51" t="n"/>
      <c r="G2" s="48" t="inlineStr">
        <is>
          <t xml:space="preserve">福岡本社:〒810-0001　</t>
        </is>
      </c>
      <c r="H2" s="51" t="n"/>
      <c r="I2" s="51" t="n"/>
    </row>
    <row r="3" ht="35.85" customHeight="1" s="290" thickBot="1">
      <c r="A3" s="211" t="inlineStr">
        <is>
          <t>施設名</t>
        </is>
      </c>
      <c r="F3" s="52" t="n"/>
      <c r="G3" s="48" t="inlineStr">
        <is>
          <t>福岡県福岡市中央区天神２丁目３番１０号　天神パインクレスト719</t>
        </is>
      </c>
      <c r="H3" s="52" t="n"/>
      <c r="I3" s="52" t="n"/>
    </row>
    <row r="4" ht="35.85" customHeight="1" s="290">
      <c r="A4" s="291" t="inlineStr">
        <is>
          <t>シルバーホーム
なごみ</t>
        </is>
      </c>
      <c r="B4" s="292" t="n"/>
      <c r="C4" s="292" t="n"/>
      <c r="D4" s="293" t="n"/>
      <c r="E4" s="76" t="n"/>
      <c r="F4" s="44" t="n"/>
      <c r="G4" s="48" t="inlineStr">
        <is>
          <t>東京営業所:〒107-0079</t>
        </is>
      </c>
      <c r="H4" s="44" t="n"/>
      <c r="I4" s="44" t="n"/>
    </row>
    <row r="5" ht="35.85" customHeight="1" s="290" thickBot="1">
      <c r="A5" s="294" t="n"/>
      <c r="B5" s="295" t="n"/>
      <c r="C5" s="295" t="n"/>
      <c r="D5" s="296" t="n"/>
      <c r="E5" s="76" t="n"/>
      <c r="F5" s="44" t="n"/>
      <c r="G5" s="49" t="inlineStr">
        <is>
          <t>東京都中央区南青山２丁目２番１５号　ウィン青山942</t>
        </is>
      </c>
      <c r="H5" s="44" t="n"/>
      <c r="I5" s="44" t="n"/>
    </row>
    <row r="6" ht="35.85" customHeight="1" s="290">
      <c r="A6" s="33" t="n"/>
      <c r="B6" s="34" t="n"/>
      <c r="C6" s="34" t="n"/>
      <c r="D6" s="34" t="n"/>
      <c r="E6" s="30" t="n"/>
      <c r="F6" s="44" t="n"/>
      <c r="G6" s="50" t="inlineStr">
        <is>
          <t>電話:0120-907-056　Fax:050-3092-0899</t>
        </is>
      </c>
      <c r="H6" s="44" t="n"/>
      <c r="I6" s="44" t="n"/>
    </row>
    <row r="7" ht="15.75" customHeight="1" s="290" thickBot="1">
      <c r="A7" s="35" t="n"/>
      <c r="B7" s="36" t="n"/>
      <c r="C7" s="36" t="n"/>
      <c r="D7" s="36" t="n"/>
      <c r="E7" s="3" t="n"/>
      <c r="F7" s="29" t="n"/>
      <c r="G7" s="29" t="n"/>
      <c r="H7" s="29" t="n"/>
      <c r="I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</t>
        </is>
      </c>
      <c r="F8" s="339" t="inlineStr">
        <is>
          <t>禁食　【　常食　・　小口　】</t>
        </is>
      </c>
      <c r="G8" s="293" t="n"/>
      <c r="H8" s="301" t="inlineStr">
        <is>
          <t>備考欄</t>
        </is>
      </c>
      <c r="I8" s="293" t="n"/>
    </row>
    <row r="9" ht="28.5" customHeight="1" s="290" thickBot="1">
      <c r="A9" s="302" t="n"/>
      <c r="B9" s="303" t="n"/>
      <c r="C9" s="304" t="n"/>
      <c r="D9" s="305" t="n"/>
      <c r="E9" s="306" t="n"/>
      <c r="F9" s="294" t="n"/>
      <c r="G9" s="296" t="n"/>
      <c r="H9" s="307" t="n"/>
      <c r="I9" s="308" t="n"/>
    </row>
    <row r="10" ht="18.6" customHeight="1" s="290">
      <c r="A10" s="302" t="n"/>
      <c r="B10" s="303" t="n"/>
      <c r="C10" s="304" t="n"/>
      <c r="D10" s="305" t="n"/>
      <c r="E10" s="306" t="n"/>
      <c r="F10" s="234" t="inlineStr">
        <is>
          <t>肉禁</t>
        </is>
      </c>
      <c r="G10" s="234" t="inlineStr">
        <is>
          <t>魚禁</t>
        </is>
      </c>
      <c r="H10" s="307" t="n"/>
      <c r="I10" s="308" t="n"/>
    </row>
    <row r="11" ht="18.6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294" t="n"/>
      <c r="I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/>
      <c r="F12" s="5" t="n"/>
      <c r="G12" s="5" t="n"/>
      <c r="H12" s="321" t="n"/>
      <c r="I12" s="322" t="n"/>
    </row>
    <row r="13" ht="23.25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24" t="n"/>
      <c r="F13" s="340" t="n"/>
      <c r="G13" s="340" t="n"/>
      <c r="H13" s="10" t="n"/>
      <c r="I13" s="11" t="n"/>
    </row>
    <row r="14" ht="23.4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324" t="n">
        <v>24</v>
      </c>
      <c r="F14" s="20" t="n"/>
      <c r="G14" s="97" t="n"/>
      <c r="H14" s="68" t="n"/>
      <c r="I14" s="15" t="n"/>
    </row>
    <row r="15" ht="23.45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23</v>
      </c>
      <c r="F15" s="340" t="inlineStr">
        <is>
          <t>揚げ禁1</t>
        </is>
      </c>
      <c r="G15" s="340" t="n"/>
      <c r="H15" s="285" t="n"/>
      <c r="I15" s="328" t="n"/>
    </row>
    <row r="16" ht="23.45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19" t="n">
        <v>24</v>
      </c>
      <c r="F16" s="20" t="n"/>
      <c r="G16" s="20" t="n"/>
      <c r="H16" s="329" t="n"/>
      <c r="I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24" t="n">
        <v>16</v>
      </c>
      <c r="F17" s="340" t="n"/>
      <c r="G17" s="344" t="n"/>
      <c r="H17" s="68" t="n"/>
      <c r="I17" s="15" t="n"/>
    </row>
    <row r="18" ht="23.45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16</v>
      </c>
      <c r="F18" s="340" t="n"/>
      <c r="G18" s="340" t="n"/>
      <c r="H18" s="285" t="n"/>
      <c r="I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5" t="n">
        <v>16</v>
      </c>
      <c r="F19" s="25" t="n"/>
      <c r="G19" s="25" t="n"/>
      <c r="H19" s="333" t="n"/>
      <c r="I19" s="334" t="n"/>
    </row>
    <row r="20"/>
    <row r="21"/>
    <row r="22"/>
    <row r="23"/>
    <row r="24"/>
    <row r="25"/>
    <row r="26"/>
    <row r="27"/>
    <row r="28"/>
    <row r="29"/>
    <row r="30"/>
    <row r="31" ht="18" customHeight="1" s="290">
      <c r="K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17">
    <mergeCell ref="F8:G9"/>
    <mergeCell ref="H12:I12"/>
    <mergeCell ref="B17:B19"/>
    <mergeCell ref="A12:A16"/>
    <mergeCell ref="D8:D11"/>
    <mergeCell ref="A8:A11"/>
    <mergeCell ref="A17:A19"/>
    <mergeCell ref="E8:E11"/>
    <mergeCell ref="B12:B13"/>
    <mergeCell ref="A2:C2"/>
    <mergeCell ref="A4:D5"/>
    <mergeCell ref="B14:B16"/>
    <mergeCell ref="A3:E3"/>
    <mergeCell ref="F10:F11"/>
    <mergeCell ref="B8:C11"/>
    <mergeCell ref="G10:G11"/>
    <mergeCell ref="H8:I11"/>
  </mergeCells>
  <printOptions horizontalCentered="1" verticalCentered="1"/>
  <pageMargins left="0.25" right="0.25" top="0.75" bottom="0.75" header="0.3" footer="0.3"/>
  <pageSetup orientation="portrait" paperSize="9" scale="6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topLeftCell="A4" zoomScale="61" zoomScaleNormal="61" zoomScaleSheetLayoutView="61" workbookViewId="0">
      <selection activeCell="M44" sqref="M44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9.875" customWidth="1" style="37" min="4" max="4"/>
    <col width="10.75" customWidth="1" style="28" min="5" max="8"/>
    <col width="14.75" customWidth="1" style="1" min="9" max="9"/>
    <col width="19.875" customWidth="1" style="1" min="10" max="10"/>
    <col width="9" customWidth="1" style="1" min="11" max="16384"/>
  </cols>
  <sheetData>
    <row r="1" ht="30" customHeight="1" s="290">
      <c r="A1" s="32" t="n"/>
      <c r="B1" s="42" t="n"/>
      <c r="C1" s="42" t="n"/>
      <c r="D1" s="42" t="n"/>
      <c r="H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51" t="n"/>
      <c r="H2" s="48" t="inlineStr">
        <is>
          <t xml:space="preserve">福岡本社:〒810-0001　</t>
        </is>
      </c>
      <c r="I2" s="51" t="n"/>
      <c r="J2" s="51" t="n"/>
    </row>
    <row r="3" ht="35.85" customHeight="1" s="290" thickBot="1">
      <c r="A3" s="211" t="inlineStr">
        <is>
          <t>施設名</t>
        </is>
      </c>
      <c r="F3" s="211" t="n"/>
      <c r="G3" s="52" t="n"/>
      <c r="H3" s="48" t="inlineStr">
        <is>
          <t>福岡県福岡市中央区天神２丁目３番１０号　天神パインクレスト719</t>
        </is>
      </c>
      <c r="I3" s="52" t="n"/>
      <c r="J3" s="52" t="n"/>
    </row>
    <row r="4" ht="35.85" customHeight="1" s="290">
      <c r="A4" s="338" t="inlineStr">
        <is>
          <t>大和なでしこ
（有料老人ﾎｰﾑ大和）</t>
        </is>
      </c>
      <c r="B4" s="292" t="n"/>
      <c r="C4" s="292" t="n"/>
      <c r="D4" s="293" t="n"/>
      <c r="E4" s="77" t="n"/>
      <c r="F4" s="56" t="n"/>
      <c r="G4" s="44" t="n"/>
      <c r="H4" s="48" t="inlineStr">
        <is>
          <t>東京営業所:〒107-0079</t>
        </is>
      </c>
      <c r="I4" s="44" t="n"/>
      <c r="J4" s="44" t="n"/>
    </row>
    <row r="5" ht="35.85" customHeight="1" s="290" thickBot="1">
      <c r="A5" s="294" t="n"/>
      <c r="B5" s="295" t="n"/>
      <c r="C5" s="295" t="n"/>
      <c r="D5" s="296" t="n"/>
      <c r="E5" s="77" t="n"/>
      <c r="F5" s="56" t="n"/>
      <c r="G5" s="44" t="n"/>
      <c r="H5" s="49" t="inlineStr">
        <is>
          <t>東京都中央区南青山２丁目２番１５号　ウィン青山942</t>
        </is>
      </c>
      <c r="I5" s="44" t="n"/>
      <c r="J5" s="44" t="n"/>
    </row>
    <row r="6" ht="35.85" customHeight="1" s="290">
      <c r="A6" s="33" t="n"/>
      <c r="B6" s="34" t="n"/>
      <c r="C6" s="34" t="n"/>
      <c r="D6" s="34" t="n"/>
      <c r="E6" s="30" t="n"/>
      <c r="F6" s="30" t="n"/>
      <c r="G6" s="44" t="n"/>
      <c r="H6" s="50" t="inlineStr">
        <is>
          <t>電話:0120-907-056　Fax:050-3092-0899</t>
        </is>
      </c>
      <c r="I6" s="44" t="n"/>
      <c r="J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29" t="n"/>
      <c r="H7" s="29" t="n"/>
      <c r="I7" s="29" t="n"/>
      <c r="J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</t>
        </is>
      </c>
      <c r="F8" s="299" t="inlineStr">
        <is>
          <t>小口</t>
        </is>
      </c>
      <c r="G8" s="339" t="inlineStr">
        <is>
          <t>禁食　【　常食　・　小口　】</t>
        </is>
      </c>
      <c r="H8" s="293" t="n"/>
      <c r="I8" s="301" t="inlineStr">
        <is>
          <t>備考欄</t>
        </is>
      </c>
      <c r="J8" s="293" t="n"/>
    </row>
    <row r="9" ht="28.5" customHeight="1" s="290" thickBot="1">
      <c r="A9" s="302" t="n"/>
      <c r="B9" s="303" t="n"/>
      <c r="C9" s="304" t="n"/>
      <c r="D9" s="305" t="n"/>
      <c r="E9" s="306" t="n"/>
      <c r="F9" s="306" t="n"/>
      <c r="G9" s="294" t="n"/>
      <c r="H9" s="296" t="n"/>
      <c r="I9" s="307" t="n"/>
      <c r="J9" s="308" t="n"/>
    </row>
    <row r="10" ht="18.6" customHeight="1" s="290">
      <c r="A10" s="302" t="n"/>
      <c r="B10" s="303" t="n"/>
      <c r="C10" s="304" t="n"/>
      <c r="D10" s="305" t="n"/>
      <c r="E10" s="306" t="n"/>
      <c r="F10" s="306" t="n"/>
      <c r="G10" s="234" t="inlineStr">
        <is>
          <t>肉禁</t>
        </is>
      </c>
      <c r="H10" s="234" t="inlineStr">
        <is>
          <t>魚禁</t>
        </is>
      </c>
      <c r="I10" s="307" t="n"/>
      <c r="J10" s="308" t="n"/>
    </row>
    <row r="11" ht="18.6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315" t="n"/>
      <c r="I11" s="294" t="n"/>
      <c r="J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/>
      <c r="F12" s="199" t="n"/>
      <c r="G12" s="5" t="n"/>
      <c r="H12" s="5" t="n"/>
      <c r="I12" s="321" t="n"/>
      <c r="J12" s="322" t="n"/>
    </row>
    <row r="13" ht="23.25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24" t="n"/>
      <c r="F13" s="324" t="n"/>
      <c r="G13" s="340" t="n"/>
      <c r="H13" s="340" t="n"/>
      <c r="I13" s="10" t="n"/>
      <c r="J13" s="11" t="n"/>
    </row>
    <row r="14" ht="23.4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324" t="n">
        <v>32</v>
      </c>
      <c r="F14" s="20" t="n"/>
      <c r="G14" s="121" t="inlineStr">
        <is>
          <t>肉1</t>
        </is>
      </c>
      <c r="H14" s="104" t="n"/>
      <c r="I14" s="68" t="n"/>
      <c r="J14" s="15" t="n"/>
    </row>
    <row r="15" ht="23.45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33</v>
      </c>
      <c r="F15" s="340" t="n"/>
      <c r="G15" s="340" t="n"/>
      <c r="H15" s="340" t="n"/>
      <c r="I15" s="285" t="n"/>
      <c r="J15" s="328" t="n"/>
    </row>
    <row r="16" ht="23.45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19" t="n">
        <v>33</v>
      </c>
      <c r="F16" s="20" t="n"/>
      <c r="G16" s="20" t="n"/>
      <c r="H16" s="20" t="n"/>
      <c r="I16" s="329" t="n"/>
      <c r="J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24" t="n">
        <v>31</v>
      </c>
      <c r="F17" s="340" t="n"/>
      <c r="G17" s="121" t="inlineStr">
        <is>
          <t>肉1</t>
        </is>
      </c>
      <c r="H17" s="121" t="n"/>
      <c r="I17" s="68" t="n"/>
      <c r="J17" s="15" t="n"/>
    </row>
    <row r="18" ht="23.45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32</v>
      </c>
      <c r="F18" s="340" t="n"/>
      <c r="G18" s="340" t="n"/>
      <c r="H18" s="340" t="n"/>
      <c r="I18" s="285" t="n"/>
      <c r="J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32</v>
      </c>
      <c r="F19" s="25" t="n"/>
      <c r="G19" s="25" t="n"/>
      <c r="H19" s="25" t="n"/>
      <c r="I19" s="333" t="n"/>
      <c r="J19" s="334" t="n"/>
    </row>
    <row r="20"/>
    <row r="21"/>
    <row r="22"/>
    <row r="23"/>
    <row r="24"/>
    <row r="25"/>
    <row r="26"/>
    <row r="27"/>
    <row r="28"/>
    <row r="29"/>
    <row r="30"/>
    <row r="31" ht="18" customHeight="1" s="290">
      <c r="K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  <row r="39"/>
    <row r="40"/>
    <row r="41" ht="18" customHeight="1" s="290">
      <c r="G41" s="28" t="inlineStr">
        <is>
          <t>　　　</t>
        </is>
      </c>
    </row>
  </sheetData>
  <mergeCells count="18">
    <mergeCell ref="A12:A16"/>
    <mergeCell ref="B17:B19"/>
    <mergeCell ref="I12:J12"/>
    <mergeCell ref="D8:D11"/>
    <mergeCell ref="B12:B13"/>
    <mergeCell ref="A17:A19"/>
    <mergeCell ref="A8:A11"/>
    <mergeCell ref="E8:E11"/>
    <mergeCell ref="F8:F11"/>
    <mergeCell ref="A4:D5"/>
    <mergeCell ref="G8:H9"/>
    <mergeCell ref="B14:B16"/>
    <mergeCell ref="G10:G11"/>
    <mergeCell ref="I8:J11"/>
    <mergeCell ref="B8:C11"/>
    <mergeCell ref="H10:H11"/>
    <mergeCell ref="A2:C2"/>
    <mergeCell ref="A3:E3"/>
  </mergeCells>
  <printOptions horizontalCentered="1" verticalCentered="1"/>
  <pageMargins left="0.25" right="0.25" top="0.75" bottom="0.75" header="0.3" footer="0.3"/>
  <pageSetup orientation="portrait" paperSize="9" scale="7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zoomScale="61" zoomScaleNormal="61" zoomScaleSheetLayoutView="61" workbookViewId="0">
      <selection activeCell="N38" sqref="N38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9.875" customWidth="1" style="37" min="4" max="4"/>
    <col width="10.75" customWidth="1" style="28" min="5" max="8"/>
    <col width="14.75" customWidth="1" style="1" min="9" max="9"/>
    <col width="19.875" customWidth="1" style="1" min="10" max="10"/>
    <col width="9" customWidth="1" style="1" min="11" max="16384"/>
  </cols>
  <sheetData>
    <row r="1" ht="30" customHeight="1" s="290">
      <c r="A1" s="32" t="n"/>
      <c r="B1" s="42" t="n"/>
      <c r="C1" s="42" t="n"/>
      <c r="D1" s="42" t="n"/>
      <c r="H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51" t="n"/>
      <c r="H2" s="48" t="inlineStr">
        <is>
          <t xml:space="preserve">福岡本社:〒810-0001　</t>
        </is>
      </c>
      <c r="I2" s="51" t="n"/>
      <c r="J2" s="51" t="n"/>
    </row>
    <row r="3" ht="35.85" customHeight="1" s="290" thickBot="1">
      <c r="A3" s="211" t="inlineStr">
        <is>
          <t>施設名</t>
        </is>
      </c>
      <c r="F3" s="211" t="n"/>
      <c r="G3" s="52" t="n"/>
      <c r="H3" s="48" t="inlineStr">
        <is>
          <t>福岡県福岡市中央区天神２丁目３番１０号　天神パインクレスト719</t>
        </is>
      </c>
      <c r="I3" s="52" t="n"/>
      <c r="J3" s="52" t="n"/>
    </row>
    <row r="4" ht="35.85" customHeight="1" s="290">
      <c r="A4" s="338" t="inlineStr">
        <is>
          <t>ゆうゆう株式会社
百々家</t>
        </is>
      </c>
      <c r="B4" s="292" t="n"/>
      <c r="C4" s="292" t="n"/>
      <c r="D4" s="293" t="n"/>
      <c r="E4" s="77" t="n"/>
      <c r="F4" s="56" t="n"/>
      <c r="G4" s="44" t="n"/>
      <c r="H4" s="48" t="inlineStr">
        <is>
          <t>東京営業所:〒107-0079</t>
        </is>
      </c>
      <c r="I4" s="44" t="n"/>
      <c r="J4" s="44" t="n"/>
    </row>
    <row r="5" ht="35.85" customHeight="1" s="290" thickBot="1">
      <c r="A5" s="294" t="n"/>
      <c r="B5" s="295" t="n"/>
      <c r="C5" s="295" t="n"/>
      <c r="D5" s="296" t="n"/>
      <c r="E5" s="77" t="n"/>
      <c r="F5" s="56" t="n"/>
      <c r="G5" s="44" t="n"/>
      <c r="H5" s="49" t="inlineStr">
        <is>
          <t>東京都中央区南青山２丁目２番１５号　ウィン青山942</t>
        </is>
      </c>
      <c r="I5" s="44" t="n"/>
      <c r="J5" s="44" t="n"/>
    </row>
    <row r="6" ht="35.85" customHeight="1" s="290">
      <c r="A6" s="33" t="n"/>
      <c r="B6" s="34" t="n"/>
      <c r="C6" s="34" t="n"/>
      <c r="D6" s="34" t="n"/>
      <c r="E6" s="30" t="n"/>
      <c r="F6" s="30" t="n"/>
      <c r="G6" s="44" t="n"/>
      <c r="H6" s="50" t="inlineStr">
        <is>
          <t>電話:0120-907-056　Fax:050-3092-0899</t>
        </is>
      </c>
      <c r="I6" s="44" t="n"/>
      <c r="J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29" t="n"/>
      <c r="H7" s="29" t="n"/>
      <c r="I7" s="29" t="n"/>
      <c r="J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</t>
        </is>
      </c>
      <c r="F8" s="299" t="inlineStr">
        <is>
          <t>小口</t>
        </is>
      </c>
      <c r="G8" s="339" t="inlineStr">
        <is>
          <t>禁食　【　常食　・　小口　】</t>
        </is>
      </c>
      <c r="H8" s="293" t="n"/>
      <c r="I8" s="301" t="inlineStr">
        <is>
          <t>備考欄</t>
        </is>
      </c>
      <c r="J8" s="293" t="n"/>
    </row>
    <row r="9" ht="28.5" customHeight="1" s="290" thickBot="1">
      <c r="A9" s="302" t="n"/>
      <c r="B9" s="303" t="n"/>
      <c r="C9" s="304" t="n"/>
      <c r="D9" s="305" t="n"/>
      <c r="E9" s="306" t="n"/>
      <c r="F9" s="306" t="n"/>
      <c r="G9" s="294" t="n"/>
      <c r="H9" s="296" t="n"/>
      <c r="I9" s="307" t="n"/>
      <c r="J9" s="308" t="n"/>
    </row>
    <row r="10" ht="18.6" customHeight="1" s="290">
      <c r="A10" s="302" t="n"/>
      <c r="B10" s="303" t="n"/>
      <c r="C10" s="304" t="n"/>
      <c r="D10" s="305" t="n"/>
      <c r="E10" s="306" t="n"/>
      <c r="F10" s="306" t="n"/>
      <c r="G10" s="234" t="inlineStr">
        <is>
          <t>肉禁</t>
        </is>
      </c>
      <c r="H10" s="234" t="inlineStr">
        <is>
          <t>魚禁</t>
        </is>
      </c>
      <c r="I10" s="307" t="n"/>
      <c r="J10" s="308" t="n"/>
    </row>
    <row r="11" ht="18.6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315" t="n"/>
      <c r="I11" s="294" t="n"/>
      <c r="J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/>
      <c r="F12" s="199" t="n"/>
      <c r="G12" s="5" t="n"/>
      <c r="H12" s="5" t="n"/>
      <c r="I12" s="321" t="n"/>
      <c r="J12" s="322" t="n"/>
    </row>
    <row r="13" ht="23.25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49" t="n"/>
      <c r="F13" s="324" t="n"/>
      <c r="G13" s="340" t="n"/>
      <c r="H13" s="340" t="n"/>
      <c r="I13" s="10" t="n"/>
      <c r="J13" s="11" t="n"/>
    </row>
    <row r="14" ht="23.4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324" t="n">
        <v>43</v>
      </c>
      <c r="F14" s="19" t="n"/>
      <c r="G14" s="20" t="n"/>
      <c r="H14" s="14" t="n"/>
      <c r="I14" s="68" t="n"/>
      <c r="J14" s="15" t="n"/>
    </row>
    <row r="15" ht="23.45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43</v>
      </c>
      <c r="F15" s="324" t="n"/>
      <c r="G15" s="340" t="n"/>
      <c r="H15" s="340" t="n"/>
      <c r="I15" s="285" t="n"/>
      <c r="J15" s="328" t="n"/>
    </row>
    <row r="16" ht="23.45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19" t="n">
        <v>43</v>
      </c>
      <c r="F16" s="19" t="n"/>
      <c r="G16" s="20" t="n"/>
      <c r="H16" s="20" t="n"/>
      <c r="I16" s="329" t="n"/>
      <c r="J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24" t="n">
        <v>42</v>
      </c>
      <c r="F17" s="324" t="n"/>
      <c r="G17" s="340" t="n"/>
      <c r="H17" s="24" t="n"/>
      <c r="I17" s="68" t="n"/>
      <c r="J17" s="15" t="n"/>
    </row>
    <row r="18" ht="23.45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42</v>
      </c>
      <c r="F18" s="324" t="n"/>
      <c r="G18" s="340" t="n"/>
      <c r="H18" s="340" t="n"/>
      <c r="I18" s="285" t="n"/>
      <c r="J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42</v>
      </c>
      <c r="F19" s="201" t="n"/>
      <c r="G19" s="25" t="n"/>
      <c r="H19" s="25" t="n"/>
      <c r="I19" s="333" t="n"/>
      <c r="J19" s="334" t="n"/>
    </row>
    <row r="20"/>
    <row r="21"/>
    <row r="22"/>
    <row r="23"/>
    <row r="24"/>
    <row r="25"/>
    <row r="26"/>
    <row r="27"/>
    <row r="28"/>
    <row r="29"/>
    <row r="30"/>
    <row r="31" ht="18" customHeight="1" s="290">
      <c r="K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  <row r="39"/>
    <row r="40"/>
    <row r="41" ht="18" customHeight="1" s="290">
      <c r="G41" s="28" t="inlineStr">
        <is>
          <t>　　　</t>
        </is>
      </c>
    </row>
  </sheetData>
  <mergeCells count="18">
    <mergeCell ref="A12:A16"/>
    <mergeCell ref="B17:B19"/>
    <mergeCell ref="I12:J12"/>
    <mergeCell ref="D8:D11"/>
    <mergeCell ref="B12:B13"/>
    <mergeCell ref="A17:A19"/>
    <mergeCell ref="A8:A11"/>
    <mergeCell ref="E8:E11"/>
    <mergeCell ref="F8:F11"/>
    <mergeCell ref="A4:D5"/>
    <mergeCell ref="G8:H9"/>
    <mergeCell ref="B14:B16"/>
    <mergeCell ref="G10:G11"/>
    <mergeCell ref="I8:J11"/>
    <mergeCell ref="B8:C11"/>
    <mergeCell ref="H10:H11"/>
    <mergeCell ref="A2:C2"/>
    <mergeCell ref="A3:E3"/>
  </mergeCells>
  <printOptions horizontalCentered="1" verticalCentered="1"/>
  <pageMargins left="0.25" right="0.25" top="0.75" bottom="0.75" header="0.3" footer="0.3"/>
  <pageSetup orientation="portrait" paperSize="9" scale="7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38"/>
  <sheetViews>
    <sheetView zoomScale="61" zoomScaleNormal="61" zoomScaleSheetLayoutView="61" workbookViewId="0">
      <selection activeCell="O32" sqref="O32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8.5" customWidth="1" style="37" min="4" max="4"/>
    <col width="10.5" customWidth="1" style="28" min="5" max="9"/>
    <col width="10.5" customWidth="1" style="1" min="10" max="11"/>
    <col width="15" customWidth="1" style="1" min="12" max="12"/>
    <col width="21.5" customWidth="1" style="1" min="13" max="13"/>
    <col width="9" customWidth="1" style="1" min="14" max="16384"/>
  </cols>
  <sheetData>
    <row r="1" ht="30" customHeight="1" s="290">
      <c r="A1" s="32" t="n"/>
      <c r="B1" s="42" t="n"/>
      <c r="C1" s="42" t="n"/>
      <c r="D1" s="42" t="n"/>
      <c r="H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2" t="n"/>
      <c r="H2" s="48" t="inlineStr">
        <is>
          <t xml:space="preserve">福岡本社:〒810-0001　</t>
        </is>
      </c>
      <c r="I2" s="2" t="n"/>
      <c r="J2" s="51" t="n"/>
      <c r="K2" s="51" t="n"/>
      <c r="L2" s="51" t="n"/>
    </row>
    <row r="3" ht="35.85" customHeight="1" s="290" thickBot="1">
      <c r="A3" s="211" t="inlineStr">
        <is>
          <t>施設名</t>
        </is>
      </c>
      <c r="F3" s="211" t="n"/>
      <c r="G3" s="211" t="n"/>
      <c r="H3" s="48" t="inlineStr">
        <is>
          <t>福岡県福岡市中央区天神２丁目３番１０号　天神パインクレスト719</t>
        </is>
      </c>
      <c r="I3" s="211" t="n"/>
      <c r="J3" s="52" t="n"/>
      <c r="K3" s="52" t="n"/>
      <c r="L3" s="52" t="n"/>
    </row>
    <row r="4" ht="35.85" customHeight="1" s="290">
      <c r="A4" s="291" t="inlineStr">
        <is>
          <t>グループホーム
春日苑　松茂</t>
        </is>
      </c>
      <c r="B4" s="292" t="n"/>
      <c r="C4" s="292" t="n"/>
      <c r="D4" s="293" t="n"/>
      <c r="E4" s="76" t="n"/>
      <c r="F4" s="45" t="n"/>
      <c r="G4" s="45" t="n"/>
      <c r="H4" s="48" t="inlineStr">
        <is>
          <t>東京営業所:〒107-0079</t>
        </is>
      </c>
      <c r="I4" s="45" t="n"/>
      <c r="J4" s="44" t="n"/>
      <c r="K4" s="44" t="n"/>
      <c r="L4" s="44" t="n"/>
    </row>
    <row r="5" ht="52.5" customHeight="1" s="290" thickBot="1">
      <c r="A5" s="294" t="n"/>
      <c r="B5" s="295" t="n"/>
      <c r="C5" s="295" t="n"/>
      <c r="D5" s="296" t="n"/>
      <c r="E5" s="76" t="n"/>
      <c r="F5" s="45" t="n"/>
      <c r="G5" s="45" t="n"/>
      <c r="H5" s="49" t="inlineStr">
        <is>
          <t>東京都中央区南青山２丁目２番１５号　ウィン青山942</t>
        </is>
      </c>
      <c r="I5" s="45" t="n"/>
      <c r="J5" s="44" t="n"/>
      <c r="K5" s="44" t="n"/>
      <c r="L5" s="44" t="n"/>
    </row>
    <row r="6" ht="50.25" customHeight="1" s="290">
      <c r="A6" s="33" t="n"/>
      <c r="B6" s="34" t="n"/>
      <c r="C6" s="34" t="n"/>
      <c r="D6" s="34" t="n"/>
      <c r="E6" s="30" t="n"/>
      <c r="F6" s="30" t="n"/>
      <c r="G6" s="30" t="n"/>
      <c r="H6" s="50" t="inlineStr">
        <is>
          <t>電話:0120-907-056　Fax:050-3092-0899</t>
        </is>
      </c>
      <c r="I6" s="30" t="n"/>
      <c r="J6" s="44" t="n"/>
      <c r="K6" s="44" t="n"/>
      <c r="L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3" t="n"/>
      <c r="H7" s="3" t="n"/>
      <c r="I7" s="3" t="n"/>
      <c r="J7" s="29" t="n"/>
      <c r="K7" s="29" t="n"/>
      <c r="L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346" t="inlineStr">
        <is>
          <t>常食</t>
        </is>
      </c>
      <c r="F8" s="293" t="n"/>
      <c r="G8" s="346" t="inlineStr">
        <is>
          <t>軟菜</t>
        </is>
      </c>
      <c r="H8" s="293" t="n"/>
      <c r="I8" s="346" t="inlineStr">
        <is>
          <t>ミキサー</t>
        </is>
      </c>
      <c r="J8" s="293" t="n"/>
      <c r="K8" s="350" t="inlineStr">
        <is>
          <t>魚禁
(常食)</t>
        </is>
      </c>
      <c r="L8" s="301" t="inlineStr">
        <is>
          <t>備考欄</t>
        </is>
      </c>
      <c r="M8" s="293" t="n"/>
    </row>
    <row r="9" ht="28.5" customHeight="1" s="290">
      <c r="A9" s="302" t="n"/>
      <c r="B9" s="303" t="n"/>
      <c r="C9" s="304" t="n"/>
      <c r="D9" s="305" t="n"/>
      <c r="E9" s="307" t="n"/>
      <c r="F9" s="308" t="n"/>
      <c r="G9" s="307" t="n"/>
      <c r="H9" s="308" t="n"/>
      <c r="I9" s="307" t="n"/>
      <c r="J9" s="308" t="n"/>
      <c r="K9" s="306" t="n"/>
      <c r="L9" s="307" t="n"/>
      <c r="M9" s="308" t="n"/>
    </row>
    <row r="10" ht="18.6" customHeight="1" s="290">
      <c r="A10" s="302" t="n"/>
      <c r="B10" s="303" t="n"/>
      <c r="C10" s="304" t="n"/>
      <c r="D10" s="305" t="n"/>
      <c r="E10" s="309" t="n"/>
      <c r="F10" s="310" t="n"/>
      <c r="G10" s="309" t="n"/>
      <c r="H10" s="310" t="n"/>
      <c r="I10" s="309" t="n"/>
      <c r="J10" s="310" t="n"/>
      <c r="K10" s="306" t="n"/>
      <c r="L10" s="307" t="n"/>
      <c r="M10" s="308" t="n"/>
    </row>
    <row r="11" ht="25.5" customHeight="1" s="290" thickBot="1">
      <c r="A11" s="311" t="n"/>
      <c r="B11" s="312" t="n"/>
      <c r="C11" s="313" t="n"/>
      <c r="D11" s="314" t="n"/>
      <c r="E11" s="234" t="inlineStr">
        <is>
          <t>花</t>
        </is>
      </c>
      <c r="F11" s="234" t="inlineStr">
        <is>
          <t>月</t>
        </is>
      </c>
      <c r="G11" s="234" t="inlineStr">
        <is>
          <t>花</t>
        </is>
      </c>
      <c r="H11" s="234" t="inlineStr">
        <is>
          <t>月</t>
        </is>
      </c>
      <c r="I11" s="234" t="inlineStr">
        <is>
          <t>花</t>
        </is>
      </c>
      <c r="J11" s="234" t="inlineStr">
        <is>
          <t>月</t>
        </is>
      </c>
      <c r="K11" s="315" t="n"/>
      <c r="L11" s="294" t="n"/>
      <c r="M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>
        <v>8</v>
      </c>
      <c r="F12" s="319" t="n">
        <v>5</v>
      </c>
      <c r="G12" s="319" t="n"/>
      <c r="H12" s="319" t="n"/>
      <c r="I12" s="319" t="n">
        <v>2</v>
      </c>
      <c r="J12" s="320" t="n">
        <v>3</v>
      </c>
      <c r="K12" s="319" t="n"/>
      <c r="L12" s="351" t="n"/>
      <c r="M12" s="342" t="n"/>
    </row>
    <row r="13" ht="23.45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24" t="n">
        <v>8</v>
      </c>
      <c r="F13" s="324" t="n">
        <v>5</v>
      </c>
      <c r="G13" s="324" t="n"/>
      <c r="H13" s="324" t="n"/>
      <c r="I13" s="324" t="n">
        <v>2</v>
      </c>
      <c r="J13" s="324" t="n">
        <v>3</v>
      </c>
      <c r="K13" s="19" t="n"/>
      <c r="L13" s="101" t="n"/>
      <c r="M13" s="11" t="n"/>
    </row>
    <row r="14" ht="23.4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324" t="n">
        <v>9</v>
      </c>
      <c r="F14" s="324" t="n">
        <v>7</v>
      </c>
      <c r="G14" s="324" t="n"/>
      <c r="H14" s="324" t="n"/>
      <c r="I14" s="324" t="n">
        <v>2</v>
      </c>
      <c r="J14" s="324" t="n">
        <v>3</v>
      </c>
      <c r="K14" s="200" t="n"/>
      <c r="L14" s="68" t="n"/>
      <c r="M14" s="15" t="n"/>
    </row>
    <row r="15" ht="23.45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9</v>
      </c>
      <c r="F15" s="324" t="n">
        <v>7</v>
      </c>
      <c r="G15" s="324" t="n"/>
      <c r="H15" s="324" t="n"/>
      <c r="I15" s="324" t="n">
        <v>2</v>
      </c>
      <c r="J15" s="324" t="n">
        <v>3</v>
      </c>
      <c r="K15" s="324" t="n"/>
      <c r="L15" s="285" t="n"/>
      <c r="M15" s="328" t="n"/>
    </row>
    <row r="16" ht="23.45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19" t="n">
        <v>9</v>
      </c>
      <c r="F16" s="19" t="n">
        <v>7</v>
      </c>
      <c r="G16" s="19" t="n"/>
      <c r="H16" s="19" t="n"/>
      <c r="I16" s="19" t="n">
        <v>2</v>
      </c>
      <c r="J16" s="19" t="n">
        <v>3</v>
      </c>
      <c r="K16" s="19" t="n"/>
      <c r="L16" s="329" t="n"/>
      <c r="M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24" t="n">
        <v>8</v>
      </c>
      <c r="F17" s="324" t="n">
        <v>6</v>
      </c>
      <c r="G17" s="324" t="n"/>
      <c r="H17" s="324" t="n"/>
      <c r="I17" s="324" t="n">
        <v>2</v>
      </c>
      <c r="J17" s="324" t="n">
        <v>3</v>
      </c>
      <c r="K17" s="200" t="n"/>
      <c r="L17" s="68" t="n"/>
      <c r="M17" s="15" t="n"/>
    </row>
    <row r="18" ht="23.45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8</v>
      </c>
      <c r="F18" s="324" t="n">
        <v>6</v>
      </c>
      <c r="G18" s="324" t="n"/>
      <c r="H18" s="324" t="n"/>
      <c r="I18" s="324" t="n">
        <v>2</v>
      </c>
      <c r="J18" s="324" t="n">
        <v>3</v>
      </c>
      <c r="K18" s="324" t="n"/>
      <c r="L18" s="285" t="n"/>
      <c r="M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8</v>
      </c>
      <c r="F19" s="201" t="n">
        <v>6</v>
      </c>
      <c r="G19" s="201" t="n"/>
      <c r="H19" s="201" t="n"/>
      <c r="I19" s="201" t="n">
        <v>2</v>
      </c>
      <c r="J19" s="201" t="n">
        <v>3</v>
      </c>
      <c r="K19" s="201" t="n"/>
      <c r="L19" s="352" t="n"/>
      <c r="M19" s="334" t="n"/>
    </row>
    <row r="20" ht="18" customHeight="1" s="290">
      <c r="J20" s="1" t="n">
        <v>2</v>
      </c>
    </row>
    <row r="21"/>
    <row r="22"/>
    <row r="23"/>
    <row r="24"/>
    <row r="25"/>
    <row r="26"/>
    <row r="27"/>
    <row r="28"/>
    <row r="29"/>
    <row r="30"/>
    <row r="31" ht="18" customHeight="1" s="290">
      <c r="M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16">
    <mergeCell ref="L8:M11"/>
    <mergeCell ref="A12:A16"/>
    <mergeCell ref="B17:B19"/>
    <mergeCell ref="D8:D11"/>
    <mergeCell ref="B12:B13"/>
    <mergeCell ref="A8:A11"/>
    <mergeCell ref="A17:A19"/>
    <mergeCell ref="G8:H10"/>
    <mergeCell ref="I8:J10"/>
    <mergeCell ref="A4:D5"/>
    <mergeCell ref="K8:K11"/>
    <mergeCell ref="B14:B16"/>
    <mergeCell ref="E8:F10"/>
    <mergeCell ref="B8:C11"/>
    <mergeCell ref="A2:C2"/>
    <mergeCell ref="A3:E3"/>
  </mergeCells>
  <printOptions horizontalCentered="1" verticalCentered="1"/>
  <pageMargins left="0.25" right="0.25" top="0.75" bottom="0.75" header="0.3" footer="0.3"/>
  <pageSetup orientation="portrait" paperSize="9" scale="58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zoomScale="61" zoomScaleNormal="61" zoomScaleSheetLayoutView="61" workbookViewId="0">
      <selection activeCell="P40" sqref="P40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7.375" customWidth="1" style="37" min="4" max="4"/>
    <col width="10.625" customWidth="1" style="28" min="5" max="10"/>
    <col width="17.75" customWidth="1" style="1" min="11" max="11"/>
    <col width="22.125" customWidth="1" style="1" min="12" max="12"/>
    <col width="9" customWidth="1" style="1" min="13" max="16384"/>
  </cols>
  <sheetData>
    <row r="1" ht="30" customHeight="1" s="290">
      <c r="A1" s="32" t="n"/>
      <c r="B1" s="42" t="n"/>
      <c r="C1" s="42" t="n"/>
      <c r="D1" s="42" t="n"/>
      <c r="I1" s="47" t="inlineStr">
        <is>
          <t>株式会社アドオンミール</t>
        </is>
      </c>
      <c r="J1" s="47" t="n"/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2" t="n"/>
      <c r="H2" s="51" t="n"/>
      <c r="I2" s="48" t="inlineStr">
        <is>
          <t xml:space="preserve">福岡本社:〒810-0001　</t>
        </is>
      </c>
      <c r="J2" s="48" t="n"/>
      <c r="K2" s="51" t="n"/>
      <c r="L2" s="51" t="n"/>
    </row>
    <row r="3" ht="35.85" customHeight="1" s="290" thickBot="1">
      <c r="A3" s="211" t="inlineStr">
        <is>
          <t>施設名</t>
        </is>
      </c>
      <c r="F3" s="211" t="n"/>
      <c r="G3" s="211" t="n"/>
      <c r="H3" s="52" t="n"/>
      <c r="I3" s="48" t="inlineStr">
        <is>
          <t>福岡県福岡市中央区天神２丁目３番１０号　天神パインクレスト719</t>
        </is>
      </c>
      <c r="J3" s="48" t="n"/>
      <c r="K3" s="52" t="n"/>
      <c r="L3" s="52" t="n"/>
    </row>
    <row r="4" ht="35.85" customHeight="1" s="290">
      <c r="A4" s="353" t="inlineStr">
        <is>
          <t xml:space="preserve">介護老人保健施設
ふれあいの丘
</t>
        </is>
      </c>
      <c r="B4" s="292" t="n"/>
      <c r="C4" s="292" t="n"/>
      <c r="D4" s="293" t="n"/>
      <c r="E4" s="76" t="n"/>
      <c r="F4" s="45" t="n"/>
      <c r="G4" s="45" t="n"/>
      <c r="H4" s="44" t="n"/>
      <c r="I4" s="48" t="inlineStr">
        <is>
          <t>東京営業所:〒107-0079</t>
        </is>
      </c>
      <c r="J4" s="48" t="n"/>
      <c r="K4" s="44" t="n"/>
      <c r="L4" s="44" t="n"/>
    </row>
    <row r="5" ht="35.85" customHeight="1" s="290" thickBot="1">
      <c r="A5" s="294" t="n"/>
      <c r="B5" s="295" t="n"/>
      <c r="C5" s="295" t="n"/>
      <c r="D5" s="296" t="n"/>
      <c r="E5" s="76" t="n"/>
      <c r="F5" s="45" t="n"/>
      <c r="G5" s="45" t="n"/>
      <c r="H5" s="44" t="n"/>
      <c r="I5" s="49" t="inlineStr">
        <is>
          <t>東京都中央区南青山２丁目２番１５号　ウィン青山942</t>
        </is>
      </c>
      <c r="J5" s="49" t="n"/>
      <c r="K5" s="44" t="n"/>
      <c r="L5" s="44" t="n"/>
    </row>
    <row r="6" ht="35.85" customHeight="1" s="290">
      <c r="A6" s="33" t="n"/>
      <c r="B6" s="34" t="n"/>
      <c r="C6" s="34" t="n"/>
      <c r="D6" s="34" t="n"/>
      <c r="E6" s="30" t="n"/>
      <c r="F6" s="30" t="n"/>
      <c r="G6" s="30" t="n"/>
      <c r="H6" s="44" t="n"/>
      <c r="I6" s="50" t="inlineStr">
        <is>
          <t>電話:0120-907-056　Fax:050-3092-0899</t>
        </is>
      </c>
      <c r="J6" s="50" t="n"/>
      <c r="K6" s="44" t="n"/>
      <c r="L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3" t="n"/>
      <c r="H7" s="29" t="n"/>
      <c r="I7" s="29" t="n"/>
      <c r="J7" s="29" t="n"/>
      <c r="K7" s="29" t="n"/>
      <c r="L7" s="29" t="n"/>
    </row>
    <row r="8" ht="21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</t>
        </is>
      </c>
      <c r="F8" s="299" t="inlineStr">
        <is>
          <t>通所</t>
        </is>
      </c>
      <c r="G8" s="347" t="inlineStr">
        <is>
          <t>職員</t>
        </is>
      </c>
      <c r="H8" s="250" t="inlineStr">
        <is>
          <t>禁食</t>
        </is>
      </c>
      <c r="I8" s="292" t="n"/>
      <c r="J8" s="293" t="n"/>
      <c r="K8" s="354" t="inlineStr">
        <is>
          <t>保管温度</t>
        </is>
      </c>
      <c r="L8" s="354" t="inlineStr">
        <is>
          <t>賞味期限</t>
        </is>
      </c>
      <c r="M8" s="301" t="inlineStr">
        <is>
          <t>備考欄</t>
        </is>
      </c>
      <c r="N8" s="293" t="n"/>
    </row>
    <row r="9" ht="13.15" customHeight="1" s="290" thickBot="1">
      <c r="A9" s="302" t="n"/>
      <c r="B9" s="303" t="n"/>
      <c r="C9" s="304" t="n"/>
      <c r="D9" s="305" t="n"/>
      <c r="E9" s="306" t="n"/>
      <c r="F9" s="306" t="n"/>
      <c r="G9" s="306" t="n"/>
      <c r="H9" s="307" t="n"/>
      <c r="J9" s="308" t="n"/>
      <c r="K9" s="306" t="n"/>
      <c r="L9" s="306" t="n"/>
      <c r="M9" s="307" t="n"/>
      <c r="N9" s="308" t="n"/>
    </row>
    <row r="10" ht="12.75" customHeight="1" s="290">
      <c r="A10" s="302" t="n"/>
      <c r="B10" s="303" t="n"/>
      <c r="C10" s="304" t="n"/>
      <c r="D10" s="305" t="n"/>
      <c r="E10" s="306" t="n"/>
      <c r="F10" s="306" t="n"/>
      <c r="G10" s="306" t="n"/>
      <c r="H10" s="355" t="inlineStr">
        <is>
          <t>肉禁</t>
        </is>
      </c>
      <c r="I10" s="355" t="inlineStr">
        <is>
          <t>魚禁</t>
        </is>
      </c>
      <c r="J10" s="355" t="inlineStr">
        <is>
          <t>その他</t>
        </is>
      </c>
      <c r="K10" s="306" t="n"/>
      <c r="L10" s="306" t="n"/>
      <c r="M10" s="307" t="n"/>
      <c r="N10" s="308" t="n"/>
    </row>
    <row r="11" ht="13.15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K11" s="315" t="n"/>
      <c r="L11" s="315" t="n"/>
      <c r="M11" s="294" t="n"/>
      <c r="N11" s="296" t="n"/>
    </row>
    <row r="12" ht="30" customHeight="1" s="290">
      <c r="A12" s="316">
        <f>山城!A12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199" t="n">
        <v>70</v>
      </c>
      <c r="F12" s="199" t="n"/>
      <c r="G12" s="199" t="n"/>
      <c r="H12" s="119" t="n"/>
      <c r="I12" s="119" t="n"/>
      <c r="J12" s="119" t="n"/>
      <c r="K12" s="5" t="n"/>
      <c r="L12" s="5" t="n"/>
      <c r="M12" s="321" t="n"/>
      <c r="N12" s="322" t="n"/>
    </row>
    <row r="13" ht="30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24" t="n">
        <v>70</v>
      </c>
      <c r="F13" s="324" t="n"/>
      <c r="G13" s="324" t="n"/>
      <c r="H13" s="344" t="n"/>
      <c r="I13" s="344" t="n"/>
      <c r="J13" s="344" t="n"/>
      <c r="K13" s="340" t="n"/>
      <c r="L13" s="340" t="n"/>
      <c r="M13" s="356" t="n"/>
      <c r="N13" s="357" t="n"/>
    </row>
    <row r="14" ht="30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19" t="n">
        <v>65</v>
      </c>
      <c r="G14" s="19" t="n"/>
      <c r="H14" s="121" t="n"/>
      <c r="I14" s="104" t="n"/>
      <c r="J14" s="104" t="n"/>
      <c r="K14" s="14" t="n"/>
      <c r="L14" s="14" t="n"/>
      <c r="M14" s="358" t="n"/>
      <c r="N14" s="359" t="n"/>
    </row>
    <row r="15" ht="30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57</v>
      </c>
      <c r="F15" s="344" t="n"/>
      <c r="G15" s="324" t="n"/>
      <c r="H15" s="344" t="n"/>
      <c r="I15" s="344" t="n"/>
      <c r="J15" s="344" t="inlineStr">
        <is>
          <t>揚げ物8</t>
        </is>
      </c>
      <c r="K15" s="340" t="n"/>
      <c r="L15" s="340" t="n"/>
      <c r="M15" s="360" t="n"/>
      <c r="N15" s="357" t="n"/>
    </row>
    <row r="16" ht="30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324" t="n">
        <v>62</v>
      </c>
      <c r="G16" s="19" t="n"/>
      <c r="H16" s="121" t="n"/>
      <c r="I16" s="121" t="n">
        <v>3</v>
      </c>
      <c r="J16" s="121" t="n"/>
      <c r="K16" s="20" t="n"/>
      <c r="L16" s="20" t="n"/>
      <c r="M16" s="358" t="inlineStr">
        <is>
          <t>魚2、鶏魚1</t>
        </is>
      </c>
      <c r="N16" s="359" t="n"/>
    </row>
    <row r="17" ht="30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61" t="n">
        <v>64</v>
      </c>
      <c r="F17" s="324" t="n"/>
      <c r="G17" s="324" t="n">
        <v>5</v>
      </c>
      <c r="H17" s="344" t="n">
        <v>1</v>
      </c>
      <c r="I17" s="110" t="n"/>
      <c r="J17" s="110" t="n"/>
      <c r="K17" s="110" t="n"/>
      <c r="L17" s="110" t="n"/>
      <c r="M17" s="356" t="inlineStr">
        <is>
          <t>鶏魚1</t>
        </is>
      </c>
      <c r="N17" s="357" t="n"/>
    </row>
    <row r="18" ht="30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65</v>
      </c>
      <c r="F18" s="324" t="n"/>
      <c r="G18" s="324" t="n">
        <v>5</v>
      </c>
      <c r="H18" s="344" t="n"/>
      <c r="I18" s="344" t="n"/>
      <c r="J18" s="344" t="n"/>
      <c r="K18" s="340" t="n"/>
      <c r="L18" s="340" t="n"/>
      <c r="M18" s="362" t="n"/>
      <c r="N18" s="328" t="n"/>
    </row>
    <row r="19" ht="30.7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65</v>
      </c>
      <c r="F19" s="201" t="n"/>
      <c r="G19" s="201" t="n">
        <v>5</v>
      </c>
      <c r="H19" s="123" t="n"/>
      <c r="I19" s="123" t="n"/>
      <c r="J19" s="123" t="n"/>
      <c r="K19" s="25" t="n"/>
      <c r="L19" s="25" t="n"/>
      <c r="M19" s="363" t="n"/>
      <c r="N19" s="364" t="n"/>
    </row>
    <row r="20"/>
    <row r="21"/>
    <row r="22"/>
    <row r="23"/>
    <row r="24"/>
    <row r="25"/>
    <row r="26"/>
    <row r="27"/>
    <row r="28"/>
    <row r="29"/>
    <row r="30"/>
    <row r="31" ht="18" customHeight="1" s="290">
      <c r="N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28">
    <mergeCell ref="A12:A16"/>
    <mergeCell ref="B12:B13"/>
    <mergeCell ref="A17:A19"/>
    <mergeCell ref="E8:E11"/>
    <mergeCell ref="G8:G11"/>
    <mergeCell ref="H8:J9"/>
    <mergeCell ref="A2:C2"/>
    <mergeCell ref="F8:F11"/>
    <mergeCell ref="L8:L11"/>
    <mergeCell ref="M8:N11"/>
    <mergeCell ref="M13:N13"/>
    <mergeCell ref="A3:E3"/>
    <mergeCell ref="M16:N16"/>
    <mergeCell ref="M15:N15"/>
    <mergeCell ref="M12:N12"/>
    <mergeCell ref="A8:A11"/>
    <mergeCell ref="A4:D5"/>
    <mergeCell ref="K8:K11"/>
    <mergeCell ref="I10:I11"/>
    <mergeCell ref="M17:N17"/>
    <mergeCell ref="B17:B19"/>
    <mergeCell ref="D8:D11"/>
    <mergeCell ref="M14:N14"/>
    <mergeCell ref="B14:B16"/>
    <mergeCell ref="M19:N19"/>
    <mergeCell ref="B8:C11"/>
    <mergeCell ref="H10:H11"/>
    <mergeCell ref="J10:J11"/>
  </mergeCells>
  <printOptions horizontalCentered="1" verticalCentered="1"/>
  <pageMargins left="0.25" right="0.25" top="0.75" bottom="0.75" header="0.3" footer="0.3"/>
  <pageSetup orientation="portrait" paperSize="9" scale="5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38"/>
  <sheetViews>
    <sheetView topLeftCell="A7" zoomScale="61" zoomScaleNormal="61" zoomScaleSheetLayoutView="61" workbookViewId="0">
      <selection activeCell="M52" sqref="M52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7.375" customWidth="1" style="37" min="4" max="4"/>
    <col width="10.625" customWidth="1" style="28" min="5" max="9"/>
    <col width="17.75" customWidth="1" style="1" min="10" max="10"/>
    <col width="22.125" customWidth="1" style="1" min="11" max="11"/>
    <col width="9" customWidth="1" style="1" min="12" max="16384"/>
  </cols>
  <sheetData>
    <row r="1" ht="30" customHeight="1" s="290">
      <c r="A1" s="32" t="n"/>
      <c r="B1" s="42" t="n"/>
      <c r="C1" s="42" t="n"/>
      <c r="D1" s="42" t="n"/>
      <c r="I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2" t="n"/>
      <c r="H2" s="2" t="n"/>
      <c r="I2" s="48" t="inlineStr">
        <is>
          <t xml:space="preserve">福岡本社:〒810-0001　</t>
        </is>
      </c>
      <c r="J2" s="51" t="n"/>
      <c r="K2" s="51" t="n"/>
    </row>
    <row r="3" ht="35.85" customHeight="1" s="290" thickBot="1">
      <c r="A3" s="211" t="inlineStr">
        <is>
          <t>施設名</t>
        </is>
      </c>
      <c r="F3" s="211" t="n"/>
      <c r="G3" s="211" t="n"/>
      <c r="H3" s="211" t="n"/>
      <c r="I3" s="48" t="inlineStr">
        <is>
          <t>福岡県福岡市中央区天神２丁目３番１０号　天神パインクレスト719</t>
        </is>
      </c>
      <c r="J3" s="52" t="n"/>
      <c r="K3" s="52" t="n"/>
    </row>
    <row r="4" ht="35.85" customHeight="1" s="290">
      <c r="A4" s="353" t="inlineStr">
        <is>
          <t>メディカルフーズ
湘南さくら病院</t>
        </is>
      </c>
      <c r="B4" s="292" t="n"/>
      <c r="C4" s="292" t="n"/>
      <c r="D4" s="293" t="n"/>
      <c r="E4" s="76" t="n"/>
      <c r="F4" s="45" t="n"/>
      <c r="G4" s="45" t="n"/>
      <c r="H4" s="45" t="n"/>
      <c r="I4" s="48" t="inlineStr">
        <is>
          <t>東京営業所:〒107-0079</t>
        </is>
      </c>
      <c r="J4" s="44" t="n"/>
      <c r="K4" s="44" t="n"/>
    </row>
    <row r="5" ht="35.85" customHeight="1" s="290" thickBot="1">
      <c r="A5" s="294" t="n"/>
      <c r="B5" s="295" t="n"/>
      <c r="C5" s="295" t="n"/>
      <c r="D5" s="296" t="n"/>
      <c r="E5" s="76" t="n"/>
      <c r="F5" s="45" t="n"/>
      <c r="G5" s="45" t="n"/>
      <c r="H5" s="45" t="n"/>
      <c r="I5" s="49" t="inlineStr">
        <is>
          <t>東京都中央区南青山２丁目２番１５号　ウィン青山942</t>
        </is>
      </c>
      <c r="J5" s="44" t="n"/>
      <c r="K5" s="44" t="n"/>
    </row>
    <row r="6" ht="35.85" customHeight="1" s="290">
      <c r="A6" s="33" t="n"/>
      <c r="B6" s="34" t="n"/>
      <c r="C6" s="34" t="n"/>
      <c r="D6" s="34" t="n"/>
      <c r="E6" s="30" t="n"/>
      <c r="F6" s="30" t="n"/>
      <c r="G6" s="30" t="n"/>
      <c r="H6" s="30" t="n"/>
      <c r="I6" s="50" t="inlineStr">
        <is>
          <t>電話:0120-907-056　Fax:050-3092-0899</t>
        </is>
      </c>
      <c r="J6" s="44" t="n"/>
      <c r="K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3" t="n"/>
      <c r="H7" s="3" t="n"/>
      <c r="I7" s="29" t="n"/>
      <c r="J7" s="29" t="n"/>
      <c r="K7" s="29" t="n"/>
    </row>
    <row r="8" ht="21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</t>
        </is>
      </c>
      <c r="F8" s="299" t="inlineStr">
        <is>
          <t>職員</t>
        </is>
      </c>
      <c r="G8" s="250" t="inlineStr">
        <is>
          <t>禁食</t>
        </is>
      </c>
      <c r="H8" s="292" t="n"/>
      <c r="I8" s="293" t="n"/>
      <c r="J8" s="354" t="inlineStr">
        <is>
          <t>保管温度</t>
        </is>
      </c>
      <c r="K8" s="354" t="inlineStr">
        <is>
          <t>賞味期限</t>
        </is>
      </c>
      <c r="L8" s="301" t="inlineStr">
        <is>
          <t>備考欄</t>
        </is>
      </c>
      <c r="M8" s="293" t="n"/>
    </row>
    <row r="9" ht="13.15" customHeight="1" s="290" thickBot="1">
      <c r="A9" s="302" t="n"/>
      <c r="B9" s="303" t="n"/>
      <c r="C9" s="304" t="n"/>
      <c r="D9" s="305" t="n"/>
      <c r="E9" s="306" t="n"/>
      <c r="F9" s="306" t="n"/>
      <c r="G9" s="307" t="n"/>
      <c r="I9" s="308" t="n"/>
      <c r="J9" s="306" t="n"/>
      <c r="K9" s="306" t="n"/>
      <c r="L9" s="307" t="n"/>
      <c r="M9" s="308" t="n"/>
    </row>
    <row r="10" ht="12.75" customHeight="1" s="290">
      <c r="A10" s="302" t="n"/>
      <c r="B10" s="303" t="n"/>
      <c r="C10" s="304" t="n"/>
      <c r="D10" s="305" t="n"/>
      <c r="E10" s="306" t="n"/>
      <c r="F10" s="306" t="n"/>
      <c r="G10" s="355" t="inlineStr">
        <is>
          <t>肉禁</t>
        </is>
      </c>
      <c r="H10" s="355" t="inlineStr">
        <is>
          <t>魚禁</t>
        </is>
      </c>
      <c r="I10" s="355" t="inlineStr">
        <is>
          <t>ｺﾞﾏ禁</t>
        </is>
      </c>
      <c r="J10" s="306" t="n"/>
      <c r="K10" s="306" t="n"/>
      <c r="L10" s="307" t="n"/>
      <c r="M10" s="308" t="n"/>
    </row>
    <row r="11" ht="13.15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K11" s="315" t="n"/>
      <c r="L11" s="294" t="n"/>
      <c r="M11" s="296" t="n"/>
    </row>
    <row r="12" ht="30" customHeight="1" s="290">
      <c r="A12" s="316">
        <f>山城!A12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199" t="n">
        <v>105</v>
      </c>
      <c r="F12" s="199" t="n">
        <v>2</v>
      </c>
      <c r="G12" s="199" t="n"/>
      <c r="H12" s="199" t="n"/>
      <c r="I12" s="119" t="n"/>
      <c r="J12" s="5" t="n"/>
      <c r="K12" s="5" t="n"/>
      <c r="L12" s="321" t="n"/>
      <c r="M12" s="322" t="n"/>
    </row>
    <row r="13" ht="30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324" t="n">
        <v>105</v>
      </c>
      <c r="F13" s="324" t="n">
        <v>2</v>
      </c>
      <c r="G13" s="324" t="n"/>
      <c r="H13" s="324" t="n"/>
      <c r="I13" s="344" t="n"/>
      <c r="J13" s="340" t="n"/>
      <c r="K13" s="340" t="n"/>
      <c r="L13" s="158" t="n"/>
      <c r="M13" s="15" t="n"/>
    </row>
    <row r="14" ht="30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19" t="n">
        <v>103</v>
      </c>
      <c r="F14" s="19" t="n">
        <v>2</v>
      </c>
      <c r="G14" s="19" t="n">
        <v>2</v>
      </c>
      <c r="H14" s="19" t="n"/>
      <c r="I14" s="104" t="n"/>
      <c r="J14" s="14" t="n"/>
      <c r="K14" s="14" t="n"/>
      <c r="L14" s="358" t="n"/>
      <c r="M14" s="359" t="n"/>
    </row>
    <row r="15" ht="30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105</v>
      </c>
      <c r="F15" s="324" t="n">
        <v>2</v>
      </c>
      <c r="G15" s="324" t="n"/>
      <c r="H15" s="324" t="n"/>
      <c r="I15" s="344" t="n"/>
      <c r="J15" s="340" t="n"/>
      <c r="K15" s="340" t="n"/>
      <c r="L15" s="360" t="n"/>
      <c r="M15" s="357" t="n"/>
    </row>
    <row r="16" ht="30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324" t="n">
        <v>102</v>
      </c>
      <c r="F16" s="19" t="n">
        <v>2</v>
      </c>
      <c r="G16" s="19" t="n"/>
      <c r="H16" s="19" t="n">
        <v>3</v>
      </c>
      <c r="I16" s="121" t="n"/>
      <c r="J16" s="20" t="n"/>
      <c r="K16" s="20" t="n"/>
      <c r="L16" s="356" t="n"/>
      <c r="M16" s="357" t="n"/>
    </row>
    <row r="17" ht="30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19" t="n">
        <v>102</v>
      </c>
      <c r="F17" s="324" t="n">
        <v>12</v>
      </c>
      <c r="G17" s="324" t="n">
        <v>3</v>
      </c>
      <c r="H17" s="324" t="n"/>
      <c r="I17" s="110" t="n"/>
      <c r="J17" s="110" t="n"/>
      <c r="K17" s="110" t="n"/>
      <c r="L17" s="356" t="n"/>
      <c r="M17" s="357" t="n"/>
    </row>
    <row r="18" ht="30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19" t="n">
        <v>103</v>
      </c>
      <c r="F18" s="324" t="n">
        <v>12</v>
      </c>
      <c r="G18" s="324" t="n">
        <v>2</v>
      </c>
      <c r="H18" s="324" t="n"/>
      <c r="I18" s="344" t="n"/>
      <c r="J18" s="340" t="n"/>
      <c r="K18" s="340" t="n"/>
      <c r="L18" s="356" t="n"/>
      <c r="M18" s="357" t="n"/>
    </row>
    <row r="19" ht="30.7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105</v>
      </c>
      <c r="F19" s="201" t="n">
        <v>12</v>
      </c>
      <c r="G19" s="201" t="n"/>
      <c r="H19" s="201" t="n"/>
      <c r="I19" s="123" t="n"/>
      <c r="J19" s="25" t="n"/>
      <c r="K19" s="25" t="n"/>
      <c r="L19" s="363" t="n"/>
      <c r="M19" s="364" t="n"/>
    </row>
    <row r="20"/>
    <row r="21"/>
    <row r="22"/>
    <row r="23"/>
    <row r="24"/>
    <row r="25"/>
    <row r="26"/>
    <row r="27"/>
    <row r="28"/>
    <row r="29"/>
    <row r="30"/>
    <row r="31" ht="18" customHeight="1" s="290">
      <c r="M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</sheetData>
  <mergeCells count="27">
    <mergeCell ref="L8:M11"/>
    <mergeCell ref="A12:A16"/>
    <mergeCell ref="L17:M17"/>
    <mergeCell ref="B12:B13"/>
    <mergeCell ref="A17:A19"/>
    <mergeCell ref="E8:E11"/>
    <mergeCell ref="L16:M16"/>
    <mergeCell ref="L19:M19"/>
    <mergeCell ref="A2:C2"/>
    <mergeCell ref="G10:G11"/>
    <mergeCell ref="L12:M12"/>
    <mergeCell ref="F8:F11"/>
    <mergeCell ref="L15:M15"/>
    <mergeCell ref="L18:M18"/>
    <mergeCell ref="G8:I9"/>
    <mergeCell ref="L14:M14"/>
    <mergeCell ref="A3:E3"/>
    <mergeCell ref="A8:A11"/>
    <mergeCell ref="A4:D5"/>
    <mergeCell ref="K8:K11"/>
    <mergeCell ref="I10:I11"/>
    <mergeCell ref="B17:B19"/>
    <mergeCell ref="D8:D11"/>
    <mergeCell ref="J8:J11"/>
    <mergeCell ref="B14:B16"/>
    <mergeCell ref="B8:C11"/>
    <mergeCell ref="H10:H11"/>
  </mergeCells>
  <printOptions horizontalCentered="1" verticalCentered="1"/>
  <pageMargins left="0.25" right="0.25" top="0.75" bottom="0.75" header="0.3" footer="0.3"/>
  <pageSetup orientation="portrait" paperSize="9" scale="58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tabSelected="1" zoomScale="61" zoomScaleNormal="61" zoomScaleSheetLayoutView="61" workbookViewId="0">
      <selection activeCell="O39" sqref="O39"/>
    </sheetView>
  </sheetViews>
  <sheetFormatPr baseColWidth="8" defaultColWidth="9" defaultRowHeight="18" customHeight="1"/>
  <cols>
    <col width="8.5" customWidth="1" style="37" min="1" max="1"/>
    <col width="3.625" customWidth="1" style="37" min="2" max="2"/>
    <col width="7.125" customWidth="1" style="37" min="3" max="3"/>
    <col width="29.875" customWidth="1" style="37" min="4" max="4"/>
    <col width="10.75" customWidth="1" style="28" min="5" max="8"/>
    <col width="14.75" customWidth="1" style="1" min="9" max="9"/>
    <col width="19.875" customWidth="1" style="1" min="10" max="10"/>
    <col width="9" customWidth="1" style="1" min="11" max="16384"/>
  </cols>
  <sheetData>
    <row r="1" ht="30" customHeight="1" s="290">
      <c r="A1" s="32" t="n"/>
      <c r="B1" s="42" t="n"/>
      <c r="C1" s="42" t="n"/>
      <c r="D1" s="42" t="n"/>
      <c r="H1" s="47" t="inlineStr">
        <is>
          <t>株式会社アドオンミール</t>
        </is>
      </c>
    </row>
    <row r="2" ht="35.85" customHeight="1" s="290">
      <c r="A2" s="209" t="inlineStr">
        <is>
          <t>【納品書】</t>
        </is>
      </c>
      <c r="D2" s="210" t="n"/>
      <c r="E2" s="2" t="n"/>
      <c r="F2" s="2" t="n"/>
      <c r="G2" s="51" t="n"/>
      <c r="H2" s="48" t="inlineStr">
        <is>
          <t xml:space="preserve">福岡本社:〒810-0001　</t>
        </is>
      </c>
      <c r="I2" s="51" t="n"/>
      <c r="J2" s="51" t="n"/>
    </row>
    <row r="3" ht="35.85" customHeight="1" s="290" thickBot="1">
      <c r="A3" s="211" t="inlineStr">
        <is>
          <t>施設名</t>
        </is>
      </c>
      <c r="F3" s="211" t="n"/>
      <c r="G3" s="52" t="n"/>
      <c r="H3" s="48" t="inlineStr">
        <is>
          <t>福岡県福岡市中央区天神２丁目３番１０号　天神パインクレスト719</t>
        </is>
      </c>
      <c r="I3" s="52" t="n"/>
      <c r="J3" s="52" t="n"/>
    </row>
    <row r="4" ht="35.85" customHeight="1" s="290">
      <c r="A4" s="338" t="inlineStr">
        <is>
          <t>ケアホーム
長生苑</t>
        </is>
      </c>
      <c r="B4" s="292" t="n"/>
      <c r="C4" s="292" t="n"/>
      <c r="D4" s="293" t="n"/>
      <c r="E4" s="77" t="n"/>
      <c r="F4" s="56" t="n"/>
      <c r="G4" s="44" t="n"/>
      <c r="H4" s="48" t="inlineStr">
        <is>
          <t>東京営業所:〒107-0079</t>
        </is>
      </c>
      <c r="I4" s="44" t="n"/>
      <c r="J4" s="44" t="n"/>
    </row>
    <row r="5" ht="35.85" customHeight="1" s="290" thickBot="1">
      <c r="A5" s="294" t="n"/>
      <c r="B5" s="295" t="n"/>
      <c r="C5" s="295" t="n"/>
      <c r="D5" s="296" t="n"/>
      <c r="E5" s="77" t="n"/>
      <c r="F5" s="56" t="n"/>
      <c r="G5" s="44" t="n"/>
      <c r="H5" s="49" t="inlineStr">
        <is>
          <t>東京都中央区南青山２丁目２番１５号　ウィン青山942</t>
        </is>
      </c>
      <c r="I5" s="44" t="n"/>
      <c r="J5" s="44" t="n"/>
    </row>
    <row r="6" ht="35.85" customHeight="1" s="290">
      <c r="A6" s="33" t="n"/>
      <c r="B6" s="34" t="n"/>
      <c r="C6" s="34" t="n"/>
      <c r="D6" s="34" t="n"/>
      <c r="E6" s="30" t="n"/>
      <c r="F6" s="30" t="n"/>
      <c r="G6" s="44" t="n"/>
      <c r="H6" s="50" t="inlineStr">
        <is>
          <t>電話:0120-907-056　Fax:050-3092-0899</t>
        </is>
      </c>
      <c r="I6" s="44" t="n"/>
      <c r="J6" s="44" t="n"/>
    </row>
    <row r="7" ht="15.75" customHeight="1" s="290" thickBot="1">
      <c r="A7" s="35" t="n"/>
      <c r="B7" s="36" t="n"/>
      <c r="C7" s="36" t="n"/>
      <c r="D7" s="36" t="n"/>
      <c r="E7" s="3" t="n"/>
      <c r="F7" s="3" t="n"/>
      <c r="G7" s="29" t="n"/>
      <c r="H7" s="29" t="n"/>
      <c r="I7" s="29" t="n"/>
      <c r="J7" s="29" t="n"/>
    </row>
    <row r="8" ht="18.6" customHeight="1" s="290">
      <c r="A8" s="218" t="inlineStr">
        <is>
          <t>日　付</t>
        </is>
      </c>
      <c r="B8" s="222" t="inlineStr">
        <is>
          <t>区　分</t>
        </is>
      </c>
      <c r="C8" s="297" t="n"/>
      <c r="D8" s="298" t="inlineStr">
        <is>
          <t>メニュー名</t>
        </is>
      </c>
      <c r="E8" s="299" t="inlineStr">
        <is>
          <t>常食</t>
        </is>
      </c>
      <c r="F8" s="299" t="inlineStr">
        <is>
          <t>ミキサー</t>
        </is>
      </c>
      <c r="G8" s="339" t="inlineStr">
        <is>
          <t>禁食　【　常食　・　ミキサー　】</t>
        </is>
      </c>
      <c r="H8" s="293" t="n"/>
      <c r="I8" s="301" t="inlineStr">
        <is>
          <t>備考欄</t>
        </is>
      </c>
      <c r="J8" s="293" t="n"/>
    </row>
    <row r="9" ht="28.5" customHeight="1" s="290" thickBot="1">
      <c r="A9" s="302" t="n"/>
      <c r="B9" s="303" t="n"/>
      <c r="C9" s="304" t="n"/>
      <c r="D9" s="305" t="n"/>
      <c r="E9" s="306" t="n"/>
      <c r="F9" s="306" t="n"/>
      <c r="G9" s="294" t="n"/>
      <c r="H9" s="296" t="n"/>
      <c r="I9" s="307" t="n"/>
      <c r="J9" s="308" t="n"/>
    </row>
    <row r="10" ht="18.6" customHeight="1" s="290">
      <c r="A10" s="302" t="n"/>
      <c r="B10" s="303" t="n"/>
      <c r="C10" s="304" t="n"/>
      <c r="D10" s="305" t="n"/>
      <c r="E10" s="306" t="n"/>
      <c r="F10" s="306" t="n"/>
      <c r="G10" s="234" t="inlineStr">
        <is>
          <t>肉禁</t>
        </is>
      </c>
      <c r="H10" s="234" t="inlineStr">
        <is>
          <t>魚禁</t>
        </is>
      </c>
      <c r="I10" s="307" t="n"/>
      <c r="J10" s="308" t="n"/>
    </row>
    <row r="11" ht="18.6" customHeight="1" s="290" thickBot="1">
      <c r="A11" s="311" t="n"/>
      <c r="B11" s="312" t="n"/>
      <c r="C11" s="313" t="n"/>
      <c r="D11" s="314" t="n"/>
      <c r="E11" s="315" t="n"/>
      <c r="F11" s="315" t="n"/>
      <c r="G11" s="315" t="n"/>
      <c r="H11" s="315" t="n"/>
      <c r="I11" s="294" t="n"/>
      <c r="J11" s="296" t="n"/>
    </row>
    <row r="12" ht="23.45" customHeight="1" s="290">
      <c r="A12" s="316">
        <f>山城!A12:D19</f>
        <v/>
      </c>
      <c r="B12" s="317" t="inlineStr">
        <is>
          <t>朝</t>
        </is>
      </c>
      <c r="C12" s="317" t="inlineStr">
        <is>
          <t>副①</t>
        </is>
      </c>
      <c r="D12" s="318">
        <f>山城!D12</f>
        <v/>
      </c>
      <c r="E12" s="319" t="n">
        <v>25</v>
      </c>
      <c r="F12" s="199" t="n">
        <v>2</v>
      </c>
      <c r="G12" s="5" t="n"/>
      <c r="H12" s="5" t="n"/>
      <c r="I12" s="321" t="n"/>
      <c r="J12" s="322" t="n"/>
    </row>
    <row r="13" ht="23.25" customHeight="1" s="290">
      <c r="A13" s="302" t="n"/>
      <c r="B13" s="323" t="n"/>
      <c r="C13" s="205" t="inlineStr">
        <is>
          <t>副②</t>
        </is>
      </c>
      <c r="D13" s="105">
        <f>山城!D13</f>
        <v/>
      </c>
      <c r="E13" s="19" t="n">
        <v>25</v>
      </c>
      <c r="F13" s="324" t="n">
        <v>2</v>
      </c>
      <c r="G13" s="340" t="n"/>
      <c r="H13" s="340" t="n"/>
      <c r="I13" s="10" t="n"/>
      <c r="J13" s="11" t="n"/>
    </row>
    <row r="14" ht="23.45" customHeight="1" s="290">
      <c r="A14" s="302" t="n"/>
      <c r="B14" s="325" t="inlineStr">
        <is>
          <t>昼</t>
        </is>
      </c>
      <c r="C14" s="325" t="inlineStr">
        <is>
          <t>主Ａ</t>
        </is>
      </c>
      <c r="D14" s="326">
        <f>山城!D14</f>
        <v/>
      </c>
      <c r="E14" s="324" t="n">
        <v>25</v>
      </c>
      <c r="F14" s="19" t="n">
        <v>2</v>
      </c>
      <c r="G14" s="20" t="n"/>
      <c r="H14" s="14" t="n"/>
      <c r="I14" s="68" t="n"/>
      <c r="J14" s="15" t="n"/>
    </row>
    <row r="15" ht="23.45" customHeight="1" s="290">
      <c r="A15" s="302" t="n"/>
      <c r="B15" s="327" t="n"/>
      <c r="C15" s="325" t="inlineStr">
        <is>
          <t>副①</t>
        </is>
      </c>
      <c r="D15" s="326">
        <f>山城!D15</f>
        <v/>
      </c>
      <c r="E15" s="324" t="n">
        <v>25</v>
      </c>
      <c r="F15" s="324" t="n">
        <v>2</v>
      </c>
      <c r="G15" s="340" t="n"/>
      <c r="H15" s="340" t="n"/>
      <c r="I15" s="285" t="n"/>
      <c r="J15" s="328" t="n"/>
    </row>
    <row r="16" ht="23.45" customHeight="1" s="290">
      <c r="A16" s="302" t="n"/>
      <c r="B16" s="323" t="n"/>
      <c r="C16" s="325" t="inlineStr">
        <is>
          <t>副②</t>
        </is>
      </c>
      <c r="D16" s="85">
        <f>山城!D16</f>
        <v/>
      </c>
      <c r="E16" s="19" t="n">
        <v>25</v>
      </c>
      <c r="F16" s="19" t="n">
        <v>2</v>
      </c>
      <c r="G16" s="20" t="n"/>
      <c r="H16" s="20" t="n"/>
      <c r="I16" s="329" t="n"/>
      <c r="J16" s="330" t="n"/>
    </row>
    <row r="17" ht="23.45" customHeight="1" s="290">
      <c r="A17" s="183">
        <f>TEXT(A12,"(aaa)")</f>
        <v/>
      </c>
      <c r="B17" s="325" t="inlineStr">
        <is>
          <t>夕</t>
        </is>
      </c>
      <c r="C17" s="325" t="inlineStr">
        <is>
          <t>主</t>
        </is>
      </c>
      <c r="D17" s="326">
        <f>山城!D17</f>
        <v/>
      </c>
      <c r="E17" s="324" t="n">
        <v>26</v>
      </c>
      <c r="F17" s="324" t="n">
        <v>2</v>
      </c>
      <c r="G17" s="340" t="n"/>
      <c r="H17" s="24" t="n"/>
      <c r="I17" s="68" t="n"/>
      <c r="J17" s="15" t="n"/>
    </row>
    <row r="18" ht="23.45" customHeight="1" s="290">
      <c r="A18" s="302" t="n"/>
      <c r="B18" s="327" t="n"/>
      <c r="C18" s="325" t="inlineStr">
        <is>
          <t>副①</t>
        </is>
      </c>
      <c r="D18" s="337">
        <f>山城!D18</f>
        <v/>
      </c>
      <c r="E18" s="324" t="n">
        <v>26</v>
      </c>
      <c r="F18" s="324" t="n">
        <v>2</v>
      </c>
      <c r="G18" s="340" t="n"/>
      <c r="H18" s="340" t="n"/>
      <c r="I18" s="285" t="n"/>
      <c r="J18" s="328" t="n"/>
    </row>
    <row r="19" ht="23.45" customHeight="1" s="290" thickBot="1">
      <c r="A19" s="331" t="n"/>
      <c r="B19" s="323" t="n"/>
      <c r="C19" s="332" t="inlineStr">
        <is>
          <t>副②</t>
        </is>
      </c>
      <c r="D19" s="112">
        <f>山城!D19</f>
        <v/>
      </c>
      <c r="E19" s="201" t="n">
        <v>26</v>
      </c>
      <c r="F19" s="201" t="n">
        <v>2</v>
      </c>
      <c r="G19" s="25" t="n"/>
      <c r="H19" s="25" t="n"/>
      <c r="I19" s="333" t="n"/>
      <c r="J19" s="334" t="n"/>
    </row>
    <row r="20"/>
    <row r="21"/>
    <row r="22"/>
    <row r="23"/>
    <row r="24"/>
    <row r="25"/>
    <row r="26"/>
    <row r="27"/>
    <row r="28"/>
    <row r="29"/>
    <row r="30"/>
    <row r="31" ht="18" customHeight="1" s="290">
      <c r="K31" s="1" t="inlineStr">
        <is>
          <t>./</t>
        </is>
      </c>
    </row>
    <row r="32"/>
    <row r="33"/>
    <row r="34"/>
    <row r="35"/>
    <row r="36"/>
    <row r="37"/>
    <row r="38" ht="18" customFormat="1" customHeight="1" s="28">
      <c r="A38" s="37" t="n"/>
      <c r="B38" s="37" t="n"/>
      <c r="C38" s="37" t="n"/>
      <c r="D38" s="37" t="n"/>
    </row>
    <row r="39"/>
    <row r="40"/>
    <row r="41" ht="18" customHeight="1" s="290">
      <c r="G41" s="28" t="inlineStr">
        <is>
          <t>　　　</t>
        </is>
      </c>
    </row>
  </sheetData>
  <mergeCells count="18">
    <mergeCell ref="A12:A16"/>
    <mergeCell ref="B17:B19"/>
    <mergeCell ref="I12:J12"/>
    <mergeCell ref="D8:D11"/>
    <mergeCell ref="B12:B13"/>
    <mergeCell ref="A17:A19"/>
    <mergeCell ref="A8:A11"/>
    <mergeCell ref="E8:E11"/>
    <mergeCell ref="F8:F11"/>
    <mergeCell ref="A4:D5"/>
    <mergeCell ref="G8:H9"/>
    <mergeCell ref="B14:B16"/>
    <mergeCell ref="G10:G11"/>
    <mergeCell ref="I8:J11"/>
    <mergeCell ref="B8:C11"/>
    <mergeCell ref="H10:H11"/>
    <mergeCell ref="A2:C2"/>
    <mergeCell ref="A3:E3"/>
  </mergeCells>
  <printOptions horizontalCentered="1" verticalCentered="1"/>
  <pageMargins left="0.25" right="0.25" top="0.75" bottom="0.75" header="0.3" footer="0.3"/>
  <pageSetup orientation="portrait" paperSize="9" scale="7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恩英 張</dc:creator>
  <dcterms:created xsi:type="dcterms:W3CDTF">2024-09-24T04:03:51Z</dcterms:created>
  <dcterms:modified xsi:type="dcterms:W3CDTF">2026-05-28T11:22:32Z</dcterms:modified>
  <cp:lastModifiedBy>PCUSER</cp:lastModifiedBy>
  <cp:lastPrinted>2026-05-01T02:07:19Z</cp:lastPrinted>
</cp:coreProperties>
</file>