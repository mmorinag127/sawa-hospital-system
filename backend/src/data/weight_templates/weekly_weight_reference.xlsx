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025" yWindow="-150" windowWidth="9630" windowHeight="11925" tabRatio="702"/>
  </bookViews>
  <sheets>
    <sheet name="5月10日～5月16日" sheetId="8" r:id="rId1"/>
  </sheets>
  <definedNames>
    <definedName name="aaa">#REF!</definedName>
    <definedName name="ColumnTitle1">#REF!</definedName>
    <definedName name="LastDay_Week">MAX(#REF!)</definedName>
    <definedName name="LastDayOfMonth_Week">DAY(EOMONTH(DATE(#REF!,WkMonthNum,1),0))</definedName>
    <definedName name="MoMonth">#REF!</definedName>
    <definedName name="MoMonthNum">MONTH(DATEVALUE(MoMonth&amp;"/1"))</definedName>
    <definedName name="MoWeek2">#REF!</definedName>
    <definedName name="MoWeek3">#REF!</definedName>
    <definedName name="MoWeek4">#REF!</definedName>
    <definedName name="MoWeek5">#REF!</definedName>
    <definedName name="MoYear">#REF!</definedName>
    <definedName name="_xlnm.Print_Area" localSheetId="0">'5月10日～5月16日'!$A$1:$I$66</definedName>
    <definedName name="WkMonth">#REF!</definedName>
    <definedName name="WkMonthNum">MONTH(DATEVALUE(#REF!&amp;"/1"))</definedName>
    <definedName name="WkMonthView">#REF!</definedName>
    <definedName name="WkWeek">LEFT(RIGHT(#REF!,3),1)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8" l="1"/>
  <c r="A27" i="8" s="1"/>
  <c r="A35" i="8" s="1"/>
  <c r="A43" i="8" s="1"/>
  <c r="A51" i="8" s="1"/>
  <c r="A59" i="8" s="1"/>
</calcChain>
</file>

<file path=xl/sharedStrings.xml><?xml version="1.0" encoding="utf-8"?>
<sst xmlns="http://schemas.openxmlformats.org/spreadsheetml/2006/main" count="168" uniqueCount="97">
  <si>
    <t>日　付</t>
    <rPh sb="0" eb="1">
      <t>ヒ</t>
    </rPh>
    <rPh sb="2" eb="3">
      <t>ツキ</t>
    </rPh>
    <phoneticPr fontId="14"/>
  </si>
  <si>
    <t>区　分</t>
    <rPh sb="0" eb="1">
      <t>ク</t>
    </rPh>
    <rPh sb="2" eb="3">
      <t>ブン</t>
    </rPh>
    <phoneticPr fontId="14"/>
  </si>
  <si>
    <t>献立</t>
    <rPh sb="0" eb="2">
      <t>コンダテ</t>
    </rPh>
    <phoneticPr fontId="11"/>
  </si>
  <si>
    <t>常食</t>
    <rPh sb="0" eb="2">
      <t>ジョウショク</t>
    </rPh>
    <phoneticPr fontId="11"/>
  </si>
  <si>
    <t>朝</t>
    <rPh sb="0" eb="1">
      <t>アサ</t>
    </rPh>
    <phoneticPr fontId="14"/>
  </si>
  <si>
    <t>副①</t>
    <rPh sb="0" eb="1">
      <t>フク</t>
    </rPh>
    <phoneticPr fontId="14"/>
  </si>
  <si>
    <t>副②</t>
    <rPh sb="0" eb="1">
      <t>フク</t>
    </rPh>
    <phoneticPr fontId="14"/>
  </si>
  <si>
    <t>昼</t>
    <rPh sb="0" eb="1">
      <t>ヒル</t>
    </rPh>
    <phoneticPr fontId="14"/>
  </si>
  <si>
    <t>主Ａ</t>
    <rPh sb="0" eb="1">
      <t>シュ</t>
    </rPh>
    <phoneticPr fontId="14"/>
  </si>
  <si>
    <t>（日）</t>
    <rPh sb="1" eb="2">
      <t>ヒ</t>
    </rPh>
    <phoneticPr fontId="11"/>
  </si>
  <si>
    <t>夕</t>
    <rPh sb="0" eb="1">
      <t>ユウ</t>
    </rPh>
    <phoneticPr fontId="14"/>
  </si>
  <si>
    <t>主</t>
    <rPh sb="0" eb="1">
      <t>シュ</t>
    </rPh>
    <phoneticPr fontId="14"/>
  </si>
  <si>
    <t>(月)</t>
    <rPh sb="1" eb="2">
      <t>ゲツ</t>
    </rPh>
    <phoneticPr fontId="11"/>
  </si>
  <si>
    <t>(火)</t>
    <rPh sb="1" eb="2">
      <t>カ</t>
    </rPh>
    <phoneticPr fontId="11"/>
  </si>
  <si>
    <t>（水）</t>
    <rPh sb="1" eb="2">
      <t>スイ</t>
    </rPh>
    <phoneticPr fontId="11"/>
  </si>
  <si>
    <t>(木)</t>
    <rPh sb="1" eb="2">
      <t>モク</t>
    </rPh>
    <phoneticPr fontId="11"/>
  </si>
  <si>
    <t>(金)</t>
    <rPh sb="1" eb="2">
      <t>キン</t>
    </rPh>
    <phoneticPr fontId="11"/>
  </si>
  <si>
    <t>(土)</t>
    <rPh sb="1" eb="2">
      <t>ド</t>
    </rPh>
    <phoneticPr fontId="11"/>
  </si>
  <si>
    <t>かぶの煮物</t>
    <rPh sb="3" eb="5">
      <t>ニモノ</t>
    </rPh>
    <phoneticPr fontId="2"/>
  </si>
  <si>
    <t>ジャーマンポテト</t>
  </si>
  <si>
    <t>ほうれん草のお浸し</t>
    <rPh sb="4" eb="5">
      <t>ソウ</t>
    </rPh>
    <rPh sb="7" eb="8">
      <t>ヒタ</t>
    </rPh>
    <phoneticPr fontId="2"/>
  </si>
  <si>
    <t>けんちん煮</t>
    <rPh sb="4" eb="5">
      <t>ニ</t>
    </rPh>
    <phoneticPr fontId="2"/>
  </si>
  <si>
    <t>さつま芋の天ぷら</t>
    <rPh sb="3" eb="4">
      <t>イモ</t>
    </rPh>
    <rPh sb="5" eb="6">
      <t>テン</t>
    </rPh>
    <phoneticPr fontId="2"/>
  </si>
  <si>
    <t>胡瓜の酢の物</t>
    <rPh sb="0" eb="2">
      <t>キュウリ</t>
    </rPh>
    <phoneticPr fontId="2"/>
  </si>
  <si>
    <t>コールスローサラダ</t>
  </si>
  <si>
    <t>ブロッコリーサラダ</t>
  </si>
  <si>
    <t>カリフラワーの甘酢</t>
    <rPh sb="7" eb="9">
      <t>アマズ</t>
    </rPh>
    <phoneticPr fontId="2"/>
  </si>
  <si>
    <t>いんげんの味噌和え</t>
    <rPh sb="5" eb="8">
      <t>ミソア</t>
    </rPh>
    <phoneticPr fontId="2"/>
  </si>
  <si>
    <t>玉子焼き</t>
    <rPh sb="0" eb="3">
      <t>タマゴヤ</t>
    </rPh>
    <phoneticPr fontId="2"/>
  </si>
  <si>
    <t>野菜の卵とじ</t>
    <rPh sb="0" eb="2">
      <t>ヤサイ</t>
    </rPh>
    <rPh sb="3" eb="4">
      <t>タマゴ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</si>
  <si>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</si>
  <si>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白菜のおかか和え</t>
    <rPh sb="0" eb="2">
      <t>ハクサイ</t>
    </rPh>
    <rPh sb="6" eb="7">
      <t>ア</t>
    </rPh>
    <phoneticPr fontId="2"/>
  </si>
  <si>
    <t>マカロニソテー</t>
  </si>
  <si>
    <t>じゃが芋のコンソメ煮</t>
    <rPh sb="3" eb="4">
      <t>イモ</t>
    </rPh>
    <rPh sb="9" eb="10">
      <t>ニ</t>
    </rPh>
    <phoneticPr fontId="2"/>
  </si>
  <si>
    <t>豚肉とれんこんの炒め煮</t>
    <rPh sb="0" eb="2">
      <t>ブタニク</t>
    </rPh>
    <rPh sb="8" eb="9">
      <t>イタ</t>
    </rPh>
    <rPh sb="10" eb="11">
      <t>ニ</t>
    </rPh>
    <phoneticPr fontId="2"/>
  </si>
  <si>
    <t>茄子の味噌炒め</t>
    <rPh sb="0" eb="2">
      <t>ナス</t>
    </rPh>
    <rPh sb="3" eb="6">
      <t>ミソイタ</t>
    </rPh>
    <phoneticPr fontId="2"/>
  </si>
  <si>
    <t>白菜の酢の物</t>
    <rPh sb="0" eb="2">
      <t>ハクサイ</t>
    </rPh>
    <phoneticPr fontId="2"/>
  </si>
  <si>
    <t>鶏肉のケチャップ炒め</t>
    <rPh sb="0" eb="2">
      <t>トリニク</t>
    </rPh>
    <rPh sb="8" eb="9">
      <t>イタ</t>
    </rPh>
    <phoneticPr fontId="2"/>
  </si>
  <si>
    <t>切干大根煮</t>
    <rPh sb="0" eb="5">
      <t>キリボシダイコンニ</t>
    </rPh>
    <phoneticPr fontId="2"/>
  </si>
  <si>
    <t>小松菜のお浸し</t>
    <rPh sb="0" eb="3">
      <t>コマツナ</t>
    </rPh>
    <rPh sb="5" eb="6">
      <t>ヒタ</t>
    </rPh>
    <phoneticPr fontId="2"/>
  </si>
  <si>
    <t>キャベツサラダ</t>
  </si>
  <si>
    <t>里芋の煮物</t>
    <rPh sb="0" eb="2">
      <t>サトイモ</t>
    </rPh>
    <rPh sb="3" eb="5">
      <t>ニモノ</t>
    </rPh>
    <phoneticPr fontId="2"/>
  </si>
  <si>
    <t>ごぼうと竹輪の煮物</t>
    <rPh sb="4" eb="6">
      <t>チクワ</t>
    </rPh>
    <rPh sb="7" eb="9">
      <t>ニモノ</t>
    </rPh>
    <phoneticPr fontId="2"/>
  </si>
  <si>
    <t>豚肉と白菜のすき煮</t>
    <rPh sb="0" eb="2">
      <t>ブタニク</t>
    </rPh>
    <rPh sb="3" eb="5">
      <t>ハクサイ</t>
    </rPh>
    <rPh sb="8" eb="9">
      <t>ニ</t>
    </rPh>
    <phoneticPr fontId="2"/>
  </si>
  <si>
    <t>ﾌﾞﾛｯｺﾘｰのちりめん和え</t>
    <rPh sb="12" eb="13">
      <t>ア</t>
    </rPh>
    <phoneticPr fontId="2"/>
  </si>
  <si>
    <t>煮込みハンバーグ</t>
    <rPh sb="0" eb="2">
      <t>ニコ</t>
    </rPh>
    <phoneticPr fontId="2"/>
  </si>
  <si>
    <t>豆腐と大根の含め煮</t>
    <rPh sb="0" eb="2">
      <t>トウフ</t>
    </rPh>
    <rPh sb="3" eb="5">
      <t>ダイコン</t>
    </rPh>
    <rPh sb="6" eb="7">
      <t>フク</t>
    </rPh>
    <rPh sb="8" eb="9">
      <t>ニ</t>
    </rPh>
    <phoneticPr fontId="2"/>
  </si>
  <si>
    <t>アジのちゃんちゃん焼き</t>
    <rPh sb="9" eb="10">
      <t>ヤ</t>
    </rPh>
    <phoneticPr fontId="2"/>
  </si>
  <si>
    <t>春雨のカニマヨサラダ</t>
    <rPh sb="0" eb="2">
      <t>ハルサメ</t>
    </rPh>
    <phoneticPr fontId="2"/>
  </si>
  <si>
    <t>大豆のトマト煮</t>
    <rPh sb="0" eb="2">
      <t>ダイズ</t>
    </rPh>
    <rPh sb="6" eb="7">
      <t>ニ</t>
    </rPh>
    <phoneticPr fontId="2"/>
  </si>
  <si>
    <t>麻婆茄子</t>
    <rPh sb="0" eb="4">
      <t>マーボーナス</t>
    </rPh>
    <phoneticPr fontId="2"/>
  </si>
  <si>
    <t>もやしナムル</t>
  </si>
  <si>
    <t>豚肉のきのこ炒め</t>
    <rPh sb="0" eb="2">
      <t>ブタニク</t>
    </rPh>
    <rPh sb="6" eb="7">
      <t>イタ</t>
    </rPh>
    <phoneticPr fontId="2"/>
  </si>
  <si>
    <t>オクラサラダ</t>
  </si>
  <si>
    <t>蓮根と平天の炒め煮</t>
    <rPh sb="0" eb="2">
      <t>レンコン</t>
    </rPh>
    <rPh sb="3" eb="5">
      <t>ヒラテン</t>
    </rPh>
    <rPh sb="6" eb="7">
      <t>イタ</t>
    </rPh>
    <rPh sb="8" eb="9">
      <t>ニ</t>
    </rPh>
    <phoneticPr fontId="2"/>
  </si>
  <si>
    <t>オムレツの和風あん</t>
    <rPh sb="5" eb="7">
      <t>ワフウ</t>
    </rPh>
    <phoneticPr fontId="2"/>
  </si>
  <si>
    <t>鶏肉のクリーム煮</t>
    <rPh sb="0" eb="2">
      <t>トリニク</t>
    </rPh>
    <rPh sb="7" eb="8">
      <t>ニ</t>
    </rPh>
    <phoneticPr fontId="2"/>
  </si>
  <si>
    <t>キャベツのソテー</t>
  </si>
  <si>
    <t>大根の青じそ和え</t>
    <rPh sb="0" eb="2">
      <t>ダイコン</t>
    </rPh>
    <rPh sb="3" eb="4">
      <t>アオ</t>
    </rPh>
    <rPh sb="6" eb="7">
      <t>ア</t>
    </rPh>
    <phoneticPr fontId="2"/>
  </si>
  <si>
    <t>豚肉の味噌炒め</t>
    <rPh sb="0" eb="2">
      <t>ブタニク</t>
    </rPh>
    <rPh sb="3" eb="6">
      <t>ミソイタ</t>
    </rPh>
    <phoneticPr fontId="2"/>
  </si>
  <si>
    <t>さつま芋の甘煮</t>
    <rPh sb="3" eb="4">
      <t>イモ</t>
    </rPh>
    <rPh sb="5" eb="7">
      <t>アマニ</t>
    </rPh>
    <phoneticPr fontId="2"/>
  </si>
  <si>
    <t>いんげんのごま和え</t>
    <rPh sb="7" eb="8">
      <t>ア</t>
    </rPh>
    <phoneticPr fontId="2"/>
  </si>
  <si>
    <t>豚肉と白菜の煮物</t>
    <rPh sb="0" eb="2">
      <t>ブタニク</t>
    </rPh>
    <rPh sb="3" eb="5">
      <t>ハクサイ</t>
    </rPh>
    <rPh sb="6" eb="8">
      <t>ニモノ</t>
    </rPh>
    <phoneticPr fontId="2"/>
  </si>
  <si>
    <t>もやしのお浸し</t>
    <rPh sb="5" eb="6">
      <t>ヒタ</t>
    </rPh>
    <phoneticPr fontId="2"/>
  </si>
  <si>
    <t>チンゲン菜のカニ和え</t>
    <rPh sb="4" eb="5">
      <t>サイ</t>
    </rPh>
    <rPh sb="8" eb="9">
      <t>ア</t>
    </rPh>
    <phoneticPr fontId="2"/>
  </si>
  <si>
    <t>厚揚げの中華煮</t>
    <rPh sb="0" eb="2">
      <t>アツア</t>
    </rPh>
    <rPh sb="4" eb="7">
      <t>チュウカニ</t>
    </rPh>
    <phoneticPr fontId="2"/>
  </si>
  <si>
    <t>ツナと胡瓜のわさびﾏﾖ</t>
    <rPh sb="3" eb="5">
      <t>キュウリ</t>
    </rPh>
    <phoneticPr fontId="2"/>
  </si>
  <si>
    <t>鶏唐揚げ　添)ﾌﾞﾛｯｺﾘｰ</t>
    <rPh sb="0" eb="3">
      <t>トリカラア</t>
    </rPh>
    <rPh sb="5" eb="6">
      <t>ソ</t>
    </rPh>
    <phoneticPr fontId="2"/>
  </si>
  <si>
    <t>サバの塩焼き　添)小松菜</t>
    <rPh sb="3" eb="5">
      <t>シオヤ</t>
    </rPh>
    <rPh sb="7" eb="8">
      <t>ソ</t>
    </rPh>
    <rPh sb="9" eb="12">
      <t>コマツナ</t>
    </rPh>
    <phoneticPr fontId="2"/>
  </si>
  <si>
    <t>チキンカツ　添)ｷｬﾍﾞﾂ</t>
    <rPh sb="6" eb="7">
      <t>ソ</t>
    </rPh>
    <phoneticPr fontId="2"/>
  </si>
  <si>
    <t>軟菜＋ミキサー</t>
    <rPh sb="0" eb="1">
      <t>ヤワ</t>
    </rPh>
    <rPh sb="1" eb="2">
      <t>ナ</t>
    </rPh>
    <phoneticPr fontId="4"/>
  </si>
  <si>
    <t>重量(㎏）</t>
    <rPh sb="0" eb="2">
      <t>ジュウリョウ</t>
    </rPh>
    <phoneticPr fontId="4"/>
  </si>
  <si>
    <t>軟菜別メニュー</t>
    <rPh sb="0" eb="1">
      <t>ナン</t>
    </rPh>
    <rPh sb="1" eb="2">
      <t>サイ</t>
    </rPh>
    <rPh sb="2" eb="3">
      <t>ベツ</t>
    </rPh>
    <phoneticPr fontId="4"/>
  </si>
  <si>
    <t>854個</t>
    <rPh sb="3" eb="4">
      <t>コ</t>
    </rPh>
    <phoneticPr fontId="4"/>
  </si>
  <si>
    <t>435個＋ソース17.4</t>
    <rPh sb="3" eb="4">
      <t>コ</t>
    </rPh>
    <phoneticPr fontId="4"/>
  </si>
  <si>
    <t>竹輪の煮物</t>
    <rPh sb="0" eb="2">
      <t>チクワ</t>
    </rPh>
    <rPh sb="3" eb="5">
      <t>ニモノ</t>
    </rPh>
    <phoneticPr fontId="4"/>
  </si>
  <si>
    <t>1061切＋野菜17.2</t>
    <rPh sb="4" eb="5">
      <t>キ</t>
    </rPh>
    <rPh sb="6" eb="8">
      <t>ヤサイ</t>
    </rPh>
    <phoneticPr fontId="4"/>
  </si>
  <si>
    <t>1208個、添12.8</t>
    <rPh sb="4" eb="5">
      <t>コ</t>
    </rPh>
    <rPh sb="6" eb="7">
      <t>ソ</t>
    </rPh>
    <phoneticPr fontId="4"/>
  </si>
  <si>
    <t>さつま芋のソテー50ｇ</t>
    <rPh sb="3" eb="4">
      <t>イモ</t>
    </rPh>
    <phoneticPr fontId="2"/>
  </si>
  <si>
    <t>1029切、添12.6</t>
    <rPh sb="4" eb="5">
      <t>キ</t>
    </rPh>
    <rPh sb="6" eb="7">
      <t>ソ</t>
    </rPh>
    <phoneticPr fontId="4"/>
  </si>
  <si>
    <t>ピーマンのじゃこ炒め　50ｇ</t>
    <rPh sb="8" eb="9">
      <t>イタ</t>
    </rPh>
    <phoneticPr fontId="2"/>
  </si>
  <si>
    <t>春雨の酢の物　　　　50ｇ</t>
    <rPh sb="0" eb="2">
      <t>ハルサメ</t>
    </rPh>
    <phoneticPr fontId="2"/>
  </si>
  <si>
    <t>442個、添13.2</t>
    <rPh sb="3" eb="4">
      <t>コ</t>
    </rPh>
    <rPh sb="5" eb="6">
      <t>ソ</t>
    </rPh>
    <phoneticPr fontId="4"/>
  </si>
  <si>
    <t>大豆のコンソメ煮　50ｇ</t>
    <rPh sb="0" eb="2">
      <t>ダイズ</t>
    </rPh>
    <rPh sb="7" eb="8">
      <t>ニ</t>
    </rPh>
    <phoneticPr fontId="2"/>
  </si>
  <si>
    <t>さつまいもレモン煮</t>
    <rPh sb="8" eb="9">
      <t>ニ</t>
    </rPh>
    <phoneticPr fontId="4"/>
  </si>
  <si>
    <t>50個、2</t>
    <rPh sb="2" eb="3">
      <t>コ</t>
    </rPh>
    <phoneticPr fontId="4"/>
  </si>
  <si>
    <t>100切、野菜1.5</t>
    <rPh sb="3" eb="4">
      <t>キ</t>
    </rPh>
    <rPh sb="5" eb="7">
      <t>ヤサイ</t>
    </rPh>
    <phoneticPr fontId="4"/>
  </si>
  <si>
    <t>100個、添1.5</t>
    <rPh sb="3" eb="4">
      <t>コ</t>
    </rPh>
    <rPh sb="5" eb="6">
      <t>ソ</t>
    </rPh>
    <phoneticPr fontId="4"/>
  </si>
  <si>
    <t>102切、添1.5</t>
    <rPh sb="3" eb="4">
      <t>キ</t>
    </rPh>
    <rPh sb="5" eb="6">
      <t>ソ</t>
    </rPh>
    <phoneticPr fontId="4"/>
  </si>
  <si>
    <t>51個、添1.5</t>
    <rPh sb="2" eb="3">
      <t>コ</t>
    </rPh>
    <rPh sb="4" eb="5">
      <t>ソ</t>
    </rPh>
    <phoneticPr fontId="4"/>
  </si>
  <si>
    <t>鶏肉のタレ焼き　添)ﾌﾞﾛｯｺﾘ－</t>
    <rPh sb="0" eb="2">
      <t>トリニク</t>
    </rPh>
    <rPh sb="5" eb="6">
      <t>ヤ</t>
    </rPh>
    <rPh sb="8" eb="9">
      <t>ソ</t>
    </rPh>
    <phoneticPr fontId="4"/>
  </si>
  <si>
    <t>豚肉の炒め物</t>
    <rPh sb="0" eb="2">
      <t>ブタニク</t>
    </rPh>
    <rPh sb="3" eb="4">
      <t>イタ</t>
    </rPh>
    <rPh sb="5" eb="6">
      <t>モノ</t>
    </rPh>
    <phoneticPr fontId="4"/>
  </si>
  <si>
    <t>里芋と平天の炒め煮</t>
    <rPh sb="0" eb="2">
      <t>サトイモ</t>
    </rPh>
    <rPh sb="3" eb="5">
      <t>ヒラテン</t>
    </rPh>
    <rPh sb="6" eb="7">
      <t>イタ</t>
    </rPh>
    <rPh sb="8" eb="9">
      <t>ニ</t>
    </rPh>
    <phoneticPr fontId="4"/>
  </si>
  <si>
    <t>オクラのお浸し</t>
    <rPh sb="5" eb="6">
      <t>ヒタ</t>
    </rPh>
    <phoneticPr fontId="4"/>
  </si>
  <si>
    <t>鶏肉と野菜のｶﾚｰｿﾃｰ</t>
    <rPh sb="0" eb="2">
      <t>トリニク</t>
    </rPh>
    <rPh sb="3" eb="5">
      <t>ヤサイ</t>
    </rPh>
    <phoneticPr fontId="4"/>
  </si>
  <si>
    <t>豚肉とさつま芋の炒め煮</t>
    <rPh sb="0" eb="2">
      <t>ブタニク</t>
    </rPh>
    <rPh sb="6" eb="7">
      <t>イモ</t>
    </rPh>
    <rPh sb="8" eb="9">
      <t>イタ</t>
    </rPh>
    <rPh sb="10" eb="11">
      <t>ニ</t>
    </rPh>
    <phoneticPr fontId="4"/>
  </si>
  <si>
    <t>各メニューの重量</t>
    <rPh sb="0" eb="1">
      <t>カク</t>
    </rPh>
    <rPh sb="6" eb="8">
      <t>ジュウリョウ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</si>
</sst>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01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0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0" fillId="0" borderId="19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18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18" fillId="0" borderId="0" xfId="1" applyFont="1" applyAlignment="1">
      <alignment horizontal="center" vertical="center"/>
    </xf>
    <xf numFmtId="0" fontId="21" fillId="0" borderId="0" xfId="1" applyFont="1" applyAlignment="1">
      <alignment horizontal="left" vertical="center"/>
    </xf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 vertical="center"/>
    </xf>
    <xf numFmtId="0" fontId="5" fillId="0" borderId="37" xfId="1" applyBorder="1" applyAlignment="1">
      <alignment horizontal="center" vertical="center"/>
    </xf>
    <xf numFmtId="0" fontId="5" fillId="0" borderId="38" xfId="1" applyBorder="1" applyAlignment="1">
      <alignment horizontal="center" vertical="center"/>
    </xf>
    <xf numFmtId="0" fontId="5" fillId="0" borderId="39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5" fillId="0" borderId="42" xfId="1" applyBorder="1" applyAlignment="1">
      <alignment horizontal="center" vertical="center"/>
    </xf>
    <xf numFmtId="0" fontId="17" fillId="0" borderId="22" xfId="1" applyFont="1" applyBorder="1" applyAlignment="1">
      <alignment vertical="center" shrinkToFit="1"/>
    </xf>
    <xf numFmtId="0" fontId="17" fillId="0" borderId="26" xfId="1" applyFont="1" applyBorder="1" applyAlignment="1">
      <alignment vertical="center" shrinkToFit="1"/>
    </xf>
    <xf numFmtId="0" fontId="17" fillId="0" borderId="22" xfId="0" applyFont="1" applyBorder="1">
      <alignment vertical="center"/>
    </xf>
    <xf numFmtId="0" fontId="17" fillId="0" borderId="36" xfId="0" applyFont="1" applyBorder="1" applyAlignment="1">
      <alignment vertical="center" shrinkToFit="1"/>
    </xf>
    <xf numFmtId="0" fontId="17" fillId="0" borderId="22" xfId="0" applyFont="1" applyBorder="1" applyAlignment="1">
      <alignment vertical="center" shrinkToFit="1"/>
    </xf>
    <xf numFmtId="0" fontId="17" fillId="0" borderId="26" xfId="0" applyFont="1" applyBorder="1" applyAlignment="1">
      <alignment vertical="center" shrinkToFit="1"/>
    </xf>
    <xf numFmtId="0" fontId="17" fillId="0" borderId="30" xfId="0" applyFont="1" applyBorder="1" applyAlignment="1">
      <alignment vertical="center" shrinkToFit="1"/>
    </xf>
    <xf numFmtId="0" fontId="17" fillId="0" borderId="25" xfId="0" applyFont="1" applyBorder="1" applyAlignment="1">
      <alignment vertical="center" shrinkToFit="1"/>
    </xf>
    <xf numFmtId="0" fontId="24" fillId="0" borderId="30" xfId="0" applyFont="1" applyBorder="1" applyAlignment="1">
      <alignment vertical="center" shrinkToFit="1"/>
    </xf>
    <xf numFmtId="0" fontId="24" fillId="0" borderId="26" xfId="0" applyFont="1" applyBorder="1" applyAlignment="1">
      <alignment vertical="center" shrinkToFit="1"/>
    </xf>
    <xf numFmtId="0" fontId="24" fillId="0" borderId="36" xfId="0" applyFont="1" applyBorder="1" applyAlignment="1">
      <alignment vertical="center" shrinkToFit="1"/>
    </xf>
    <xf numFmtId="0" fontId="24" fillId="0" borderId="25" xfId="0" applyFont="1" applyBorder="1" applyAlignment="1">
      <alignment vertical="center" shrinkToFit="1"/>
    </xf>
    <xf numFmtId="0" fontId="20" fillId="0" borderId="30" xfId="0" applyFont="1" applyBorder="1" applyAlignment="1">
      <alignment vertical="center" shrinkToFit="1"/>
    </xf>
    <xf numFmtId="0" fontId="24" fillId="0" borderId="22" xfId="0" applyFont="1" applyBorder="1" applyAlignment="1">
      <alignment vertical="center" shrinkToFit="1"/>
    </xf>
    <xf numFmtId="0" fontId="24" fillId="0" borderId="26" xfId="0" applyFont="1" applyBorder="1" applyAlignment="1">
      <alignment vertical="center" wrapText="1"/>
    </xf>
    <xf numFmtId="0" fontId="17" fillId="0" borderId="30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7" fillId="0" borderId="36" xfId="0" applyFont="1" applyBorder="1" applyAlignment="1">
      <alignment vertical="center"/>
    </xf>
    <xf numFmtId="0" fontId="16" fillId="0" borderId="0" xfId="1" applyFont="1" applyAlignment="1">
      <alignment horizontal="left" vertical="center" wrapText="1"/>
    </xf>
    <xf numFmtId="0" fontId="10" fillId="0" borderId="19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21" fillId="0" borderId="23" xfId="1" applyFont="1" applyBorder="1" applyAlignment="1">
      <alignment horizontal="center" vertical="center" shrinkToFit="1"/>
    </xf>
    <xf numFmtId="0" fontId="21" fillId="0" borderId="34" xfId="1" applyFont="1" applyBorder="1" applyAlignment="1">
      <alignment horizontal="center" vertical="center" shrinkToFit="1"/>
    </xf>
    <xf numFmtId="0" fontId="5" fillId="0" borderId="28" xfId="1" applyBorder="1" applyAlignment="1">
      <alignment horizontal="center" vertical="center"/>
    </xf>
    <xf numFmtId="0" fontId="5" fillId="0" borderId="32" xfId="1" applyBorder="1" applyAlignment="1">
      <alignment horizontal="center" vertical="center"/>
    </xf>
    <xf numFmtId="0" fontId="5" fillId="0" borderId="35" xfId="1" applyBorder="1" applyAlignment="1">
      <alignment horizontal="center" vertical="center"/>
    </xf>
    <xf numFmtId="176" fontId="21" fillId="0" borderId="20" xfId="1" applyNumberFormat="1" applyFont="1" applyBorder="1" applyAlignment="1">
      <alignment horizontal="center" vertical="center" shrinkToFit="1"/>
    </xf>
    <xf numFmtId="176" fontId="21" fillId="0" borderId="23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5" fillId="0" borderId="33" xfId="1" applyBorder="1" applyAlignment="1">
      <alignment horizontal="center" vertical="center"/>
    </xf>
    <xf numFmtId="0" fontId="21" fillId="0" borderId="23" xfId="1" applyFont="1" applyBorder="1" applyAlignment="1">
      <alignment horizontal="center" vertical="center"/>
    </xf>
    <xf numFmtId="0" fontId="21" fillId="0" borderId="34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 shrinkToFit="1"/>
    </xf>
    <xf numFmtId="0" fontId="23" fillId="0" borderId="9" xfId="1" applyFont="1" applyBorder="1" applyAlignment="1">
      <alignment horizontal="center" vertical="center" shrinkToFit="1"/>
    </xf>
    <xf numFmtId="0" fontId="23" fillId="0" borderId="15" xfId="1" applyFont="1" applyBorder="1" applyAlignment="1">
      <alignment horizontal="center" vertical="center" shrinkToFit="1"/>
    </xf>
    <xf numFmtId="0" fontId="23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10" fillId="0" borderId="6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6" fillId="0" borderId="0" xfId="1" applyFont="1" applyAlignment="1">
      <alignment horizontal="left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21" fillId="2" borderId="23" xfId="1" applyFont="1" applyFill="1" applyBorder="1" applyAlignment="1">
      <alignment horizontal="center" vertical="center" shrinkToFit="1"/>
    </xf>
    <xf numFmtId="0" fontId="21" fillId="2" borderId="34" xfId="1" applyFont="1" applyFill="1" applyBorder="1" applyAlignment="1">
      <alignment horizontal="center" vertical="center" shrinkToFit="1"/>
    </xf>
    <xf numFmtId="0" fontId="21" fillId="2" borderId="23" xfId="1" applyFont="1" applyFill="1" applyBorder="1" applyAlignment="1">
      <alignment horizontal="center" vertical="center"/>
    </xf>
    <xf numFmtId="0" fontId="21" fillId="2" borderId="34" xfId="1" applyFont="1" applyFill="1" applyBorder="1" applyAlignment="1">
      <alignment horizontal="center" vertical="center"/>
    </xf>
    <xf numFmtId="0" fontId="19" fillId="0" borderId="5" xfId="1" applyFont="1" applyBorder="1" applyAlignment="1">
      <alignment horizontal="center" vertical="center" shrinkToFit="1"/>
    </xf>
    <xf numFmtId="0" fontId="19" fillId="0" borderId="11" xfId="1" applyFont="1" applyBorder="1" applyAlignment="1">
      <alignment horizontal="center" vertical="center" shrinkToFit="1"/>
    </xf>
    <xf numFmtId="0" fontId="12" fillId="0" borderId="0" xfId="1" applyFont="1" applyBorder="1" applyAlignment="1">
      <alignment horizontal="center" vertical="center" wrapText="1"/>
    </xf>
    <xf numFmtId="0" fontId="3" fillId="0" borderId="43" xfId="1" applyFont="1" applyBorder="1" applyAlignment="1">
      <alignment horizontal="center" vertical="center" textRotation="255" shrinkToFit="1"/>
    </xf>
    <xf numFmtId="0" fontId="3" fillId="0" borderId="44" xfId="1" applyFont="1" applyBorder="1" applyAlignment="1">
      <alignment horizontal="center" vertical="center" wrapText="1" shrinkToFit="1"/>
    </xf>
    <xf numFmtId="0" fontId="10" fillId="0" borderId="45" xfId="1" applyFont="1" applyBorder="1" applyAlignment="1">
      <alignment horizontal="center" vertical="center" textRotation="255" shrinkToFit="1"/>
    </xf>
    <xf numFmtId="0" fontId="10" fillId="0" borderId="46" xfId="1" applyFont="1" applyBorder="1" applyAlignment="1">
      <alignment horizontal="center" vertical="center" wrapText="1" shrinkToFit="1"/>
    </xf>
    <xf numFmtId="0" fontId="10" fillId="0" borderId="47" xfId="1" applyFont="1" applyBorder="1" applyAlignment="1">
      <alignment horizontal="center" vertical="center" textRotation="255" shrinkToFit="1"/>
    </xf>
    <xf numFmtId="0" fontId="10" fillId="0" borderId="48" xfId="1" applyFont="1" applyBorder="1" applyAlignment="1">
      <alignment horizontal="center" vertical="center" wrapText="1" shrinkToFit="1"/>
    </xf>
    <xf numFmtId="0" fontId="3" fillId="0" borderId="43" xfId="1" applyFont="1" applyBorder="1" applyAlignment="1">
      <alignment horizontal="center" vertical="center" wrapText="1" shrinkToFit="1"/>
    </xf>
    <xf numFmtId="0" fontId="10" fillId="0" borderId="45" xfId="1" applyFont="1" applyBorder="1" applyAlignment="1">
      <alignment horizontal="center" vertical="center" wrapText="1" shrinkToFit="1"/>
    </xf>
    <xf numFmtId="0" fontId="10" fillId="0" borderId="47" xfId="1" applyFont="1" applyBorder="1" applyAlignment="1">
      <alignment horizontal="center" vertical="center" wrapText="1" shrinkToFit="1"/>
    </xf>
    <xf numFmtId="0" fontId="10" fillId="0" borderId="29" xfId="1" applyFont="1" applyBorder="1" applyAlignment="1">
      <alignment horizontal="center" vertical="center" shrinkToFit="1"/>
    </xf>
    <xf numFmtId="0" fontId="17" fillId="3" borderId="25" xfId="0" applyFont="1" applyFill="1" applyBorder="1" applyAlignment="1">
      <alignment vertical="center" shrinkToFit="1"/>
    </xf>
    <xf numFmtId="0" fontId="20" fillId="3" borderId="25" xfId="0" applyFont="1" applyFill="1" applyBorder="1" applyAlignment="1">
      <alignment vertical="center" shrinkToFit="1"/>
    </xf>
    <xf numFmtId="0" fontId="10" fillId="0" borderId="22" xfId="1" applyFont="1" applyBorder="1" applyAlignment="1">
      <alignment horizontal="center" vertical="center" shrinkToFit="1"/>
    </xf>
  </cellXfs>
  <cellStyles count="3">
    <cellStyle name="標準" xfId="0" builtinId="0"/>
    <cellStyle name="標準 2" xfId="1"/>
    <cellStyle name="標準 5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view="pageBreakPreview" zoomScale="61" zoomScaleNormal="61" zoomScaleSheetLayoutView="61" workbookViewId="0">
      <selection activeCell="A6" sqref="A6"/>
    </sheetView>
  </sheetViews>
  <sheetFormatPr defaultColWidth="9" defaultRowHeight="18" customHeight="1" x14ac:dyDescent="0.4"/>
  <cols>
    <col min="1" max="1" width="8.5" style="20" customWidth="1"/>
    <col min="2" max="2" width="3.625" style="11" customWidth="1"/>
    <col min="3" max="3" width="7.125" style="11" customWidth="1"/>
    <col min="4" max="4" width="54.5" style="17" customWidth="1"/>
    <col min="5" max="5" width="15.625" style="12" customWidth="1"/>
    <col min="6" max="6" width="29" style="12" customWidth="1"/>
    <col min="7" max="7" width="15.625" style="12" customWidth="1"/>
    <col min="8" max="8" width="25.25" style="12" customWidth="1"/>
    <col min="9" max="9" width="27.25" style="2" customWidth="1"/>
    <col min="10" max="16384" width="9" style="2"/>
  </cols>
  <sheetData>
    <row r="1" spans="1:9" ht="20.65" customHeight="1" x14ac:dyDescent="0.4">
      <c r="A1" s="18"/>
      <c r="B1" s="1"/>
      <c r="C1" s="1"/>
      <c r="D1" s="15"/>
    </row>
    <row r="2" spans="1:9" ht="35.85" customHeight="1" x14ac:dyDescent="0.4">
      <c r="A2" s="72"/>
      <c r="B2" s="73"/>
      <c r="C2" s="73"/>
      <c r="D2" s="73"/>
      <c r="E2" s="3"/>
      <c r="F2" s="3"/>
      <c r="G2" s="3"/>
      <c r="H2" s="3"/>
    </row>
    <row r="3" spans="1:9" ht="35.85" customHeight="1" thickBot="1" x14ac:dyDescent="0.45">
      <c r="A3" s="74"/>
      <c r="B3" s="74"/>
      <c r="C3" s="74"/>
      <c r="D3" s="74"/>
      <c r="E3" s="74"/>
      <c r="F3" s="46"/>
      <c r="G3" s="46"/>
      <c r="H3" s="4"/>
    </row>
    <row r="4" spans="1:9" ht="35.85" customHeight="1" x14ac:dyDescent="0.4">
      <c r="A4" s="75" t="s">
        <v>96</v>
      </c>
      <c r="B4" s="76"/>
      <c r="C4" s="76"/>
      <c r="D4" s="76"/>
      <c r="E4" s="77"/>
      <c r="F4" s="87"/>
      <c r="G4" s="87"/>
      <c r="H4" s="4"/>
    </row>
    <row r="5" spans="1:9" ht="35.85" customHeight="1" thickBot="1" x14ac:dyDescent="0.45">
      <c r="A5" s="78"/>
      <c r="B5" s="79"/>
      <c r="C5" s="79"/>
      <c r="D5" s="79"/>
      <c r="E5" s="80"/>
      <c r="F5" s="87"/>
      <c r="G5" s="87"/>
      <c r="H5" s="4"/>
    </row>
    <row r="6" spans="1:9" ht="35.85" customHeight="1" thickBot="1" x14ac:dyDescent="0.7">
      <c r="A6" s="19"/>
      <c r="B6" s="13"/>
      <c r="C6" s="13"/>
      <c r="D6" s="16"/>
      <c r="E6" s="14"/>
      <c r="F6" s="14"/>
      <c r="G6" s="14"/>
      <c r="H6" s="14"/>
    </row>
    <row r="7" spans="1:9" ht="18.75" customHeight="1" x14ac:dyDescent="0.4">
      <c r="A7" s="62" t="s">
        <v>0</v>
      </c>
      <c r="B7" s="66" t="s">
        <v>1</v>
      </c>
      <c r="C7" s="66"/>
      <c r="D7" s="85" t="s">
        <v>2</v>
      </c>
      <c r="E7" s="88" t="s">
        <v>3</v>
      </c>
      <c r="F7" s="89" t="s">
        <v>71</v>
      </c>
      <c r="G7" s="94" t="s">
        <v>70</v>
      </c>
      <c r="H7" s="89" t="s">
        <v>71</v>
      </c>
      <c r="I7" s="70" t="s">
        <v>72</v>
      </c>
    </row>
    <row r="8" spans="1:9" ht="15.6" customHeight="1" x14ac:dyDescent="0.4">
      <c r="A8" s="63"/>
      <c r="B8" s="67"/>
      <c r="C8" s="67"/>
      <c r="D8" s="86"/>
      <c r="E8" s="90"/>
      <c r="F8" s="91"/>
      <c r="G8" s="95"/>
      <c r="H8" s="91"/>
      <c r="I8" s="71"/>
    </row>
    <row r="9" spans="1:9" ht="18.75" customHeight="1" x14ac:dyDescent="0.4">
      <c r="A9" s="64"/>
      <c r="B9" s="68"/>
      <c r="C9" s="68"/>
      <c r="D9" s="86"/>
      <c r="E9" s="90"/>
      <c r="F9" s="91"/>
      <c r="G9" s="95"/>
      <c r="H9" s="91"/>
      <c r="I9" s="71"/>
    </row>
    <row r="10" spans="1:9" ht="8.65" customHeight="1" thickBot="1" x14ac:dyDescent="0.45">
      <c r="A10" s="65"/>
      <c r="B10" s="69"/>
      <c r="C10" s="69"/>
      <c r="D10" s="86"/>
      <c r="E10" s="92"/>
      <c r="F10" s="93"/>
      <c r="G10" s="96"/>
      <c r="H10" s="93"/>
      <c r="I10" s="71"/>
    </row>
    <row r="11" spans="1:9" ht="29.1" customHeight="1" x14ac:dyDescent="0.4">
      <c r="A11" s="55">
        <v>46152</v>
      </c>
      <c r="B11" s="57" t="s">
        <v>4</v>
      </c>
      <c r="C11" s="21" t="s">
        <v>5</v>
      </c>
      <c r="D11" s="31" t="s">
        <v>42</v>
      </c>
      <c r="E11" s="6">
        <v>337</v>
      </c>
      <c r="F11" s="6">
        <v>23.6</v>
      </c>
      <c r="G11" s="6">
        <v>50</v>
      </c>
      <c r="H11" s="6">
        <v>3.5</v>
      </c>
      <c r="I11" s="6" t="s">
        <v>75</v>
      </c>
    </row>
    <row r="12" spans="1:9" ht="29.1" customHeight="1" x14ac:dyDescent="0.4">
      <c r="A12" s="56"/>
      <c r="B12" s="58"/>
      <c r="C12" s="22" t="s">
        <v>6</v>
      </c>
      <c r="D12" s="32" t="s">
        <v>27</v>
      </c>
      <c r="E12" s="7">
        <v>337</v>
      </c>
      <c r="F12" s="7">
        <v>13.5</v>
      </c>
      <c r="G12" s="7">
        <v>50</v>
      </c>
      <c r="H12" s="7">
        <v>2</v>
      </c>
      <c r="I12" s="7"/>
    </row>
    <row r="13" spans="1:9" ht="29.1" customHeight="1" x14ac:dyDescent="0.4">
      <c r="A13" s="56"/>
      <c r="B13" s="52" t="s">
        <v>7</v>
      </c>
      <c r="C13" s="23" t="s">
        <v>8</v>
      </c>
      <c r="D13" s="33" t="s">
        <v>43</v>
      </c>
      <c r="E13" s="8">
        <v>430</v>
      </c>
      <c r="F13" s="8">
        <v>43</v>
      </c>
      <c r="G13" s="8">
        <v>50</v>
      </c>
      <c r="H13" s="8">
        <v>5</v>
      </c>
      <c r="I13" s="8"/>
    </row>
    <row r="14" spans="1:9" ht="29.1" customHeight="1" x14ac:dyDescent="0.4">
      <c r="A14" s="56"/>
      <c r="B14" s="53"/>
      <c r="C14" s="24" t="s">
        <v>5</v>
      </c>
      <c r="D14" s="34" t="s">
        <v>22</v>
      </c>
      <c r="E14" s="7">
        <v>427</v>
      </c>
      <c r="F14" s="7" t="s">
        <v>73</v>
      </c>
      <c r="G14" s="7">
        <v>50</v>
      </c>
      <c r="H14" s="7">
        <v>2</v>
      </c>
      <c r="I14" s="7" t="s">
        <v>84</v>
      </c>
    </row>
    <row r="15" spans="1:9" ht="29.1" customHeight="1" x14ac:dyDescent="0.4">
      <c r="A15" s="56"/>
      <c r="B15" s="59"/>
      <c r="C15" s="25" t="s">
        <v>6</v>
      </c>
      <c r="D15" s="32" t="s">
        <v>44</v>
      </c>
      <c r="E15" s="9">
        <v>430</v>
      </c>
      <c r="F15" s="9">
        <v>17.2</v>
      </c>
      <c r="G15" s="9">
        <v>50</v>
      </c>
      <c r="H15" s="9">
        <v>2</v>
      </c>
      <c r="I15" s="9"/>
    </row>
    <row r="16" spans="1:9" ht="29.1" customHeight="1" x14ac:dyDescent="0.4">
      <c r="A16" s="60" t="s">
        <v>9</v>
      </c>
      <c r="B16" s="52" t="s">
        <v>10</v>
      </c>
      <c r="C16" s="23" t="s">
        <v>11</v>
      </c>
      <c r="D16" s="33" t="s">
        <v>45</v>
      </c>
      <c r="E16" s="8">
        <v>435</v>
      </c>
      <c r="F16" s="8" t="s">
        <v>74</v>
      </c>
      <c r="G16" s="8">
        <v>50</v>
      </c>
      <c r="H16" s="8" t="s">
        <v>85</v>
      </c>
      <c r="I16" s="8"/>
    </row>
    <row r="17" spans="1:9" ht="29.1" customHeight="1" x14ac:dyDescent="0.4">
      <c r="A17" s="60"/>
      <c r="B17" s="53"/>
      <c r="C17" s="24" t="s">
        <v>5</v>
      </c>
      <c r="D17" s="38" t="s">
        <v>19</v>
      </c>
      <c r="E17" s="7">
        <v>439</v>
      </c>
      <c r="F17" s="7">
        <v>17.600000000000001</v>
      </c>
      <c r="G17" s="7">
        <v>50</v>
      </c>
      <c r="H17" s="7">
        <v>2</v>
      </c>
      <c r="I17" s="7"/>
    </row>
    <row r="18" spans="1:9" ht="29.1" customHeight="1" thickBot="1" x14ac:dyDescent="0.45">
      <c r="A18" s="61"/>
      <c r="B18" s="54"/>
      <c r="C18" s="26" t="s">
        <v>6</v>
      </c>
      <c r="D18" s="30" t="s">
        <v>30</v>
      </c>
      <c r="E18" s="5">
        <v>441</v>
      </c>
      <c r="F18" s="47">
        <v>17.600000000000001</v>
      </c>
      <c r="G18" s="47">
        <v>50</v>
      </c>
      <c r="H18" s="5">
        <v>2</v>
      </c>
      <c r="I18" s="47"/>
    </row>
    <row r="19" spans="1:9" ht="29.1" customHeight="1" x14ac:dyDescent="0.4">
      <c r="A19" s="55">
        <f>A11+1</f>
        <v>46153</v>
      </c>
      <c r="B19" s="57" t="s">
        <v>4</v>
      </c>
      <c r="C19" s="21" t="s">
        <v>5</v>
      </c>
      <c r="D19" s="31" t="s">
        <v>46</v>
      </c>
      <c r="E19" s="6">
        <v>337</v>
      </c>
      <c r="F19" s="6">
        <v>23.6</v>
      </c>
      <c r="G19" s="6">
        <v>50</v>
      </c>
      <c r="H19" s="6">
        <v>3.5</v>
      </c>
      <c r="I19" s="6"/>
    </row>
    <row r="20" spans="1:9" ht="29.1" customHeight="1" x14ac:dyDescent="0.4">
      <c r="A20" s="56"/>
      <c r="B20" s="58"/>
      <c r="C20" s="22" t="s">
        <v>6</v>
      </c>
      <c r="D20" s="32" t="s">
        <v>31</v>
      </c>
      <c r="E20" s="7">
        <v>337</v>
      </c>
      <c r="F20" s="7">
        <v>13.5</v>
      </c>
      <c r="G20" s="7">
        <v>50</v>
      </c>
      <c r="H20" s="7">
        <v>2</v>
      </c>
      <c r="I20" s="7"/>
    </row>
    <row r="21" spans="1:9" ht="29.1" customHeight="1" x14ac:dyDescent="0.4">
      <c r="A21" s="56"/>
      <c r="B21" s="52" t="s">
        <v>7</v>
      </c>
      <c r="C21" s="23" t="s">
        <v>8</v>
      </c>
      <c r="D21" s="33" t="s">
        <v>47</v>
      </c>
      <c r="E21" s="8">
        <v>431</v>
      </c>
      <c r="F21" s="8" t="s">
        <v>76</v>
      </c>
      <c r="G21" s="8">
        <v>50</v>
      </c>
      <c r="H21" s="8" t="s">
        <v>86</v>
      </c>
      <c r="I21" s="8"/>
    </row>
    <row r="22" spans="1:9" ht="29.1" customHeight="1" x14ac:dyDescent="0.4">
      <c r="A22" s="56"/>
      <c r="B22" s="53"/>
      <c r="C22" s="24" t="s">
        <v>5</v>
      </c>
      <c r="D22" s="34" t="s">
        <v>41</v>
      </c>
      <c r="E22" s="7">
        <v>450</v>
      </c>
      <c r="F22" s="7">
        <v>18</v>
      </c>
      <c r="G22" s="7">
        <v>50</v>
      </c>
      <c r="H22" s="7">
        <v>2</v>
      </c>
      <c r="I22" s="7"/>
    </row>
    <row r="23" spans="1:9" ht="29.1" customHeight="1" x14ac:dyDescent="0.4">
      <c r="A23" s="56"/>
      <c r="B23" s="59"/>
      <c r="C23" s="25" t="s">
        <v>6</v>
      </c>
      <c r="D23" s="32" t="s">
        <v>48</v>
      </c>
      <c r="E23" s="9">
        <v>450</v>
      </c>
      <c r="F23" s="9">
        <v>18</v>
      </c>
      <c r="G23" s="9">
        <v>50</v>
      </c>
      <c r="H23" s="9">
        <v>2</v>
      </c>
      <c r="I23" s="9"/>
    </row>
    <row r="24" spans="1:9" ht="29.1" customHeight="1" x14ac:dyDescent="0.4">
      <c r="A24" s="50" t="s">
        <v>12</v>
      </c>
      <c r="B24" s="52" t="s">
        <v>10</v>
      </c>
      <c r="C24" s="23" t="s">
        <v>11</v>
      </c>
      <c r="D24" s="35" t="s">
        <v>67</v>
      </c>
      <c r="E24" s="8">
        <v>428</v>
      </c>
      <c r="F24" s="8" t="s">
        <v>77</v>
      </c>
      <c r="G24" s="8">
        <v>50</v>
      </c>
      <c r="H24" s="8" t="s">
        <v>87</v>
      </c>
      <c r="I24" s="97" t="s">
        <v>90</v>
      </c>
    </row>
    <row r="25" spans="1:9" ht="29.1" customHeight="1" x14ac:dyDescent="0.4">
      <c r="A25" s="50"/>
      <c r="B25" s="53"/>
      <c r="C25" s="24" t="s">
        <v>5</v>
      </c>
      <c r="D25" s="34" t="s">
        <v>78</v>
      </c>
      <c r="E25" s="7">
        <v>444</v>
      </c>
      <c r="F25" s="7">
        <v>22.2</v>
      </c>
      <c r="G25" s="7">
        <v>50</v>
      </c>
      <c r="H25" s="7">
        <v>2.5</v>
      </c>
      <c r="I25" s="7"/>
    </row>
    <row r="26" spans="1:9" ht="29.1" customHeight="1" thickBot="1" x14ac:dyDescent="0.45">
      <c r="A26" s="51"/>
      <c r="B26" s="54"/>
      <c r="C26" s="26" t="s">
        <v>6</v>
      </c>
      <c r="D26" s="30" t="s">
        <v>23</v>
      </c>
      <c r="E26" s="5">
        <v>444</v>
      </c>
      <c r="F26" s="47">
        <v>17.7</v>
      </c>
      <c r="G26" s="47">
        <v>50</v>
      </c>
      <c r="H26" s="5">
        <v>2</v>
      </c>
      <c r="I26" s="47"/>
    </row>
    <row r="27" spans="1:9" ht="29.1" customHeight="1" x14ac:dyDescent="0.4">
      <c r="A27" s="55">
        <f>A19+1</f>
        <v>46154</v>
      </c>
      <c r="B27" s="57" t="s">
        <v>4</v>
      </c>
      <c r="C27" s="21" t="s">
        <v>5</v>
      </c>
      <c r="D27" s="31" t="s">
        <v>49</v>
      </c>
      <c r="E27" s="6">
        <v>325</v>
      </c>
      <c r="F27" s="6">
        <v>22.8</v>
      </c>
      <c r="G27" s="6">
        <v>39</v>
      </c>
      <c r="H27" s="6">
        <v>2.7</v>
      </c>
      <c r="I27" s="6"/>
    </row>
    <row r="28" spans="1:9" ht="29.1" customHeight="1" x14ac:dyDescent="0.4">
      <c r="A28" s="56"/>
      <c r="B28" s="58"/>
      <c r="C28" s="22" t="s">
        <v>6</v>
      </c>
      <c r="D28" s="32" t="s">
        <v>24</v>
      </c>
      <c r="E28" s="7">
        <v>328</v>
      </c>
      <c r="F28" s="7">
        <v>13.1</v>
      </c>
      <c r="G28" s="7">
        <v>39</v>
      </c>
      <c r="H28" s="7">
        <v>1.6</v>
      </c>
      <c r="I28" s="7"/>
    </row>
    <row r="29" spans="1:9" ht="29.1" customHeight="1" x14ac:dyDescent="0.4">
      <c r="A29" s="56"/>
      <c r="B29" s="52" t="s">
        <v>7</v>
      </c>
      <c r="C29" s="23" t="s">
        <v>8</v>
      </c>
      <c r="D29" s="33" t="s">
        <v>50</v>
      </c>
      <c r="E29" s="8">
        <v>445</v>
      </c>
      <c r="F29" s="8">
        <v>44.5</v>
      </c>
      <c r="G29" s="8">
        <v>49</v>
      </c>
      <c r="H29" s="8">
        <v>4.9000000000000004</v>
      </c>
      <c r="I29" s="8"/>
    </row>
    <row r="30" spans="1:9" ht="29.1" customHeight="1" x14ac:dyDescent="0.4">
      <c r="A30" s="56"/>
      <c r="B30" s="53"/>
      <c r="C30" s="24" t="s">
        <v>5</v>
      </c>
      <c r="D30" s="34" t="s">
        <v>29</v>
      </c>
      <c r="E30" s="7">
        <v>449</v>
      </c>
      <c r="F30" s="7">
        <v>18</v>
      </c>
      <c r="G30" s="7">
        <v>49</v>
      </c>
      <c r="H30" s="7">
        <v>2</v>
      </c>
      <c r="I30" s="7"/>
    </row>
    <row r="31" spans="1:9" ht="29.1" customHeight="1" x14ac:dyDescent="0.4">
      <c r="A31" s="56"/>
      <c r="B31" s="59"/>
      <c r="C31" s="25" t="s">
        <v>6</v>
      </c>
      <c r="D31" s="32" t="s">
        <v>51</v>
      </c>
      <c r="E31" s="9">
        <v>451</v>
      </c>
      <c r="F31" s="9">
        <v>18</v>
      </c>
      <c r="G31" s="9">
        <v>49</v>
      </c>
      <c r="H31" s="9">
        <v>2</v>
      </c>
      <c r="I31" s="9"/>
    </row>
    <row r="32" spans="1:9" ht="29.1" customHeight="1" x14ac:dyDescent="0.4">
      <c r="A32" s="81" t="s">
        <v>13</v>
      </c>
      <c r="B32" s="52" t="s">
        <v>10</v>
      </c>
      <c r="C32" s="23" t="s">
        <v>11</v>
      </c>
      <c r="D32" s="33" t="s">
        <v>52</v>
      </c>
      <c r="E32" s="8">
        <v>438</v>
      </c>
      <c r="F32" s="8">
        <v>43.8</v>
      </c>
      <c r="G32" s="8">
        <v>51</v>
      </c>
      <c r="H32" s="8">
        <v>5.0999999999999996</v>
      </c>
      <c r="I32" s="8" t="s">
        <v>91</v>
      </c>
    </row>
    <row r="33" spans="1:9" ht="29.1" customHeight="1" x14ac:dyDescent="0.4">
      <c r="A33" s="81"/>
      <c r="B33" s="53"/>
      <c r="C33" s="24" t="s">
        <v>5</v>
      </c>
      <c r="D33" s="34" t="s">
        <v>18</v>
      </c>
      <c r="E33" s="7">
        <v>445</v>
      </c>
      <c r="F33" s="7">
        <v>17.8</v>
      </c>
      <c r="G33" s="7">
        <v>51</v>
      </c>
      <c r="H33" s="7">
        <v>2</v>
      </c>
      <c r="I33" s="7"/>
    </row>
    <row r="34" spans="1:9" ht="29.1" customHeight="1" thickBot="1" x14ac:dyDescent="0.45">
      <c r="A34" s="82"/>
      <c r="B34" s="54"/>
      <c r="C34" s="26" t="s">
        <v>6</v>
      </c>
      <c r="D34" s="30" t="s">
        <v>53</v>
      </c>
      <c r="E34" s="5">
        <v>438</v>
      </c>
      <c r="F34" s="47">
        <v>17.5</v>
      </c>
      <c r="G34" s="47">
        <v>51</v>
      </c>
      <c r="H34" s="5">
        <v>2</v>
      </c>
      <c r="I34" s="47"/>
    </row>
    <row r="35" spans="1:9" ht="29.1" customHeight="1" x14ac:dyDescent="0.4">
      <c r="A35" s="55">
        <f>A27+1</f>
        <v>46155</v>
      </c>
      <c r="B35" s="57" t="s">
        <v>4</v>
      </c>
      <c r="C35" s="21" t="s">
        <v>5</v>
      </c>
      <c r="D35" s="31" t="s">
        <v>54</v>
      </c>
      <c r="E35" s="6">
        <v>336</v>
      </c>
      <c r="F35" s="6">
        <v>23.5</v>
      </c>
      <c r="G35" s="6">
        <v>51</v>
      </c>
      <c r="H35" s="6">
        <v>3.6</v>
      </c>
      <c r="I35" s="100" t="s">
        <v>92</v>
      </c>
    </row>
    <row r="36" spans="1:9" ht="29.1" customHeight="1" x14ac:dyDescent="0.4">
      <c r="A36" s="56"/>
      <c r="B36" s="58"/>
      <c r="C36" s="22" t="s">
        <v>6</v>
      </c>
      <c r="D36" s="32" t="s">
        <v>20</v>
      </c>
      <c r="E36" s="7">
        <v>336</v>
      </c>
      <c r="F36" s="7">
        <v>13.4</v>
      </c>
      <c r="G36" s="7">
        <v>51</v>
      </c>
      <c r="H36" s="7">
        <v>2</v>
      </c>
      <c r="I36" s="7"/>
    </row>
    <row r="37" spans="1:9" ht="29.1" customHeight="1" x14ac:dyDescent="0.4">
      <c r="A37" s="56"/>
      <c r="B37" s="52" t="s">
        <v>7</v>
      </c>
      <c r="C37" s="23" t="s">
        <v>8</v>
      </c>
      <c r="D37" s="39" t="s">
        <v>55</v>
      </c>
      <c r="E37" s="8">
        <v>452</v>
      </c>
      <c r="F37" s="8">
        <v>45.2</v>
      </c>
      <c r="G37" s="8">
        <v>51</v>
      </c>
      <c r="H37" s="8">
        <v>5.0999999999999996</v>
      </c>
      <c r="I37" s="8"/>
    </row>
    <row r="38" spans="1:9" ht="29.1" customHeight="1" x14ac:dyDescent="0.4">
      <c r="A38" s="56"/>
      <c r="B38" s="53"/>
      <c r="C38" s="24" t="s">
        <v>5</v>
      </c>
      <c r="D38" s="98" t="s">
        <v>32</v>
      </c>
      <c r="E38" s="7">
        <v>556</v>
      </c>
      <c r="F38" s="7">
        <v>22.2</v>
      </c>
      <c r="G38" s="7">
        <v>51</v>
      </c>
      <c r="H38" s="7">
        <v>2</v>
      </c>
      <c r="I38" s="7"/>
    </row>
    <row r="39" spans="1:9" ht="29.1" customHeight="1" x14ac:dyDescent="0.4">
      <c r="A39" s="56"/>
      <c r="B39" s="59"/>
      <c r="C39" s="25" t="s">
        <v>6</v>
      </c>
      <c r="D39" s="36" t="s">
        <v>26</v>
      </c>
      <c r="E39" s="9">
        <v>454</v>
      </c>
      <c r="F39" s="9">
        <v>18.100000000000001</v>
      </c>
      <c r="G39" s="9">
        <v>51</v>
      </c>
      <c r="H39" s="9">
        <v>2</v>
      </c>
      <c r="I39" s="9"/>
    </row>
    <row r="40" spans="1:9" ht="29.1" customHeight="1" x14ac:dyDescent="0.4">
      <c r="A40" s="83" t="s">
        <v>14</v>
      </c>
      <c r="B40" s="52" t="s">
        <v>10</v>
      </c>
      <c r="C40" s="23" t="s">
        <v>11</v>
      </c>
      <c r="D40" s="33" t="s">
        <v>56</v>
      </c>
      <c r="E40" s="8">
        <v>438</v>
      </c>
      <c r="F40" s="8">
        <v>43.8</v>
      </c>
      <c r="G40" s="8">
        <v>51</v>
      </c>
      <c r="H40" s="8">
        <v>5.0999999999999996</v>
      </c>
      <c r="I40" s="8"/>
    </row>
    <row r="41" spans="1:9" ht="29.1" customHeight="1" x14ac:dyDescent="0.4">
      <c r="A41" s="83"/>
      <c r="B41" s="53"/>
      <c r="C41" s="24" t="s">
        <v>5</v>
      </c>
      <c r="D41" s="34" t="s">
        <v>57</v>
      </c>
      <c r="E41" s="7">
        <v>445</v>
      </c>
      <c r="F41" s="7">
        <v>17.8</v>
      </c>
      <c r="G41" s="7">
        <v>51</v>
      </c>
      <c r="H41" s="7">
        <v>2</v>
      </c>
      <c r="I41" s="7"/>
    </row>
    <row r="42" spans="1:9" ht="29.1" customHeight="1" thickBot="1" x14ac:dyDescent="0.45">
      <c r="A42" s="84"/>
      <c r="B42" s="54"/>
      <c r="C42" s="26" t="s">
        <v>6</v>
      </c>
      <c r="D42" s="30" t="s">
        <v>25</v>
      </c>
      <c r="E42" s="5">
        <v>445</v>
      </c>
      <c r="F42" s="47">
        <v>17.8</v>
      </c>
      <c r="G42" s="47">
        <v>51</v>
      </c>
      <c r="H42" s="5">
        <v>2</v>
      </c>
      <c r="I42" s="47"/>
    </row>
    <row r="43" spans="1:9" ht="29.1" customHeight="1" x14ac:dyDescent="0.4">
      <c r="A43" s="55">
        <f>A35+1</f>
        <v>46156</v>
      </c>
      <c r="B43" s="57" t="s">
        <v>4</v>
      </c>
      <c r="C43" s="21" t="s">
        <v>5</v>
      </c>
      <c r="D43" s="27" t="s">
        <v>21</v>
      </c>
      <c r="E43" s="6">
        <v>328</v>
      </c>
      <c r="F43" s="6">
        <v>23</v>
      </c>
      <c r="G43" s="6">
        <v>41</v>
      </c>
      <c r="H43" s="6">
        <v>2.9</v>
      </c>
      <c r="I43" s="6"/>
    </row>
    <row r="44" spans="1:9" ht="29.1" customHeight="1" x14ac:dyDescent="0.4">
      <c r="A44" s="56"/>
      <c r="B44" s="58"/>
      <c r="C44" s="22" t="s">
        <v>6</v>
      </c>
      <c r="D44" s="28" t="s">
        <v>58</v>
      </c>
      <c r="E44" s="7">
        <v>328</v>
      </c>
      <c r="F44" s="7">
        <v>13.1</v>
      </c>
      <c r="G44" s="7">
        <v>41</v>
      </c>
      <c r="H44" s="7">
        <v>1.6</v>
      </c>
      <c r="I44" s="7"/>
    </row>
    <row r="45" spans="1:9" ht="29.1" customHeight="1" x14ac:dyDescent="0.4">
      <c r="A45" s="56"/>
      <c r="B45" s="52" t="s">
        <v>7</v>
      </c>
      <c r="C45" s="23" t="s">
        <v>8</v>
      </c>
      <c r="D45" s="33" t="s">
        <v>59</v>
      </c>
      <c r="E45" s="8">
        <v>444</v>
      </c>
      <c r="F45" s="8">
        <v>44.4</v>
      </c>
      <c r="G45" s="8">
        <v>51</v>
      </c>
      <c r="H45" s="8">
        <v>5.0999999999999996</v>
      </c>
      <c r="I45" s="8"/>
    </row>
    <row r="46" spans="1:9" ht="29.1" customHeight="1" x14ac:dyDescent="0.4">
      <c r="A46" s="56"/>
      <c r="B46" s="53"/>
      <c r="C46" s="24" t="s">
        <v>5</v>
      </c>
      <c r="D46" s="99" t="s">
        <v>60</v>
      </c>
      <c r="E46" s="7">
        <v>555</v>
      </c>
      <c r="F46" s="7">
        <v>22.2</v>
      </c>
      <c r="G46" s="7">
        <v>51</v>
      </c>
      <c r="H46" s="7">
        <v>2</v>
      </c>
      <c r="I46" s="7"/>
    </row>
    <row r="47" spans="1:9" ht="29.1" customHeight="1" x14ac:dyDescent="0.4">
      <c r="A47" s="56"/>
      <c r="B47" s="59"/>
      <c r="C47" s="25" t="s">
        <v>6</v>
      </c>
      <c r="D47" s="32" t="s">
        <v>61</v>
      </c>
      <c r="E47" s="9">
        <v>452</v>
      </c>
      <c r="F47" s="9">
        <v>18</v>
      </c>
      <c r="G47" s="9">
        <v>51</v>
      </c>
      <c r="H47" s="9">
        <v>2</v>
      </c>
      <c r="I47" s="9"/>
    </row>
    <row r="48" spans="1:9" ht="29.1" customHeight="1" x14ac:dyDescent="0.4">
      <c r="A48" s="81" t="s">
        <v>15</v>
      </c>
      <c r="B48" s="52" t="s">
        <v>10</v>
      </c>
      <c r="C48" s="23" t="s">
        <v>11</v>
      </c>
      <c r="D48" s="33" t="s">
        <v>68</v>
      </c>
      <c r="E48" s="8">
        <v>421</v>
      </c>
      <c r="F48" s="8" t="s">
        <v>79</v>
      </c>
      <c r="G48" s="8">
        <v>51</v>
      </c>
      <c r="H48" s="8" t="s">
        <v>88</v>
      </c>
      <c r="I48" s="8"/>
    </row>
    <row r="49" spans="1:9" ht="29.1" customHeight="1" x14ac:dyDescent="0.4">
      <c r="A49" s="81"/>
      <c r="B49" s="53"/>
      <c r="C49" s="24" t="s">
        <v>5</v>
      </c>
      <c r="D49" s="34" t="s">
        <v>80</v>
      </c>
      <c r="E49" s="7">
        <v>441</v>
      </c>
      <c r="F49" s="7">
        <v>22</v>
      </c>
      <c r="G49" s="7">
        <v>51</v>
      </c>
      <c r="H49" s="7">
        <v>2.6</v>
      </c>
      <c r="I49" s="7"/>
    </row>
    <row r="50" spans="1:9" ht="29.1" customHeight="1" thickBot="1" x14ac:dyDescent="0.45">
      <c r="A50" s="82"/>
      <c r="B50" s="54"/>
      <c r="C50" s="26" t="s">
        <v>6</v>
      </c>
      <c r="D50" s="30" t="s">
        <v>81</v>
      </c>
      <c r="E50" s="5">
        <v>449</v>
      </c>
      <c r="F50" s="47">
        <v>22.5</v>
      </c>
      <c r="G50" s="47">
        <v>51</v>
      </c>
      <c r="H50" s="5">
        <v>2.6</v>
      </c>
      <c r="I50" s="47"/>
    </row>
    <row r="51" spans="1:9" ht="29.1" customHeight="1" x14ac:dyDescent="0.4">
      <c r="A51" s="55">
        <f>A43+1</f>
        <v>46157</v>
      </c>
      <c r="B51" s="57" t="s">
        <v>4</v>
      </c>
      <c r="C51" s="21" t="s">
        <v>5</v>
      </c>
      <c r="D51" s="29" t="s">
        <v>62</v>
      </c>
      <c r="E51" s="6">
        <v>324</v>
      </c>
      <c r="F51" s="6">
        <v>22.7</v>
      </c>
      <c r="G51" s="6">
        <v>41</v>
      </c>
      <c r="H51" s="6">
        <v>2.9</v>
      </c>
      <c r="I51" s="6"/>
    </row>
    <row r="52" spans="1:9" ht="29.1" customHeight="1" x14ac:dyDescent="0.4">
      <c r="A52" s="56"/>
      <c r="B52" s="58"/>
      <c r="C52" s="22" t="s">
        <v>6</v>
      </c>
      <c r="D52" s="32" t="s">
        <v>63</v>
      </c>
      <c r="E52" s="10">
        <v>329</v>
      </c>
      <c r="F52" s="10">
        <v>13.1</v>
      </c>
      <c r="G52" s="10">
        <v>41</v>
      </c>
      <c r="H52" s="7">
        <v>1.6</v>
      </c>
      <c r="I52" s="7" t="s">
        <v>93</v>
      </c>
    </row>
    <row r="53" spans="1:9" ht="29.1" customHeight="1" x14ac:dyDescent="0.4">
      <c r="A53" s="56"/>
      <c r="B53" s="52" t="s">
        <v>7</v>
      </c>
      <c r="C53" s="23" t="s">
        <v>8</v>
      </c>
      <c r="D53" s="33" t="s">
        <v>69</v>
      </c>
      <c r="E53" s="8">
        <v>442</v>
      </c>
      <c r="F53" s="8" t="s">
        <v>82</v>
      </c>
      <c r="G53" s="8">
        <v>51</v>
      </c>
      <c r="H53" s="8" t="s">
        <v>89</v>
      </c>
      <c r="I53" s="97" t="s">
        <v>94</v>
      </c>
    </row>
    <row r="54" spans="1:9" ht="29.1" customHeight="1" x14ac:dyDescent="0.4">
      <c r="A54" s="56"/>
      <c r="B54" s="53"/>
      <c r="C54" s="24" t="s">
        <v>5</v>
      </c>
      <c r="D54" s="34" t="s">
        <v>83</v>
      </c>
      <c r="E54" s="7">
        <v>462</v>
      </c>
      <c r="F54" s="7">
        <v>23.1</v>
      </c>
      <c r="G54" s="7">
        <v>51</v>
      </c>
      <c r="H54" s="7">
        <v>2.6</v>
      </c>
      <c r="I54" s="7"/>
    </row>
    <row r="55" spans="1:9" ht="29.1" customHeight="1" x14ac:dyDescent="0.4">
      <c r="A55" s="56"/>
      <c r="B55" s="59"/>
      <c r="C55" s="25" t="s">
        <v>6</v>
      </c>
      <c r="D55" s="32" t="s">
        <v>64</v>
      </c>
      <c r="E55" s="9">
        <v>462</v>
      </c>
      <c r="F55" s="9">
        <v>18.5</v>
      </c>
      <c r="G55" s="9">
        <v>51</v>
      </c>
      <c r="H55" s="9">
        <v>2</v>
      </c>
      <c r="I55" s="9"/>
    </row>
    <row r="56" spans="1:9" ht="29.1" customHeight="1" x14ac:dyDescent="0.4">
      <c r="A56" s="50" t="s">
        <v>16</v>
      </c>
      <c r="B56" s="52" t="s">
        <v>10</v>
      </c>
      <c r="C56" s="23" t="s">
        <v>11</v>
      </c>
      <c r="D56" s="35" t="s">
        <v>65</v>
      </c>
      <c r="E56" s="8">
        <v>445</v>
      </c>
      <c r="F56" s="8">
        <v>44.5</v>
      </c>
      <c r="G56" s="8">
        <v>51</v>
      </c>
      <c r="H56" s="8">
        <v>5.0999999999999996</v>
      </c>
      <c r="I56" s="8"/>
    </row>
    <row r="57" spans="1:9" ht="29.1" customHeight="1" x14ac:dyDescent="0.4">
      <c r="A57" s="50"/>
      <c r="B57" s="53"/>
      <c r="C57" s="24" t="s">
        <v>5</v>
      </c>
      <c r="D57" s="34" t="s">
        <v>28</v>
      </c>
      <c r="E57" s="7">
        <v>445</v>
      </c>
      <c r="F57" s="7">
        <v>890</v>
      </c>
      <c r="G57" s="7">
        <v>51</v>
      </c>
      <c r="H57" s="7">
        <v>2</v>
      </c>
      <c r="I57" s="7"/>
    </row>
    <row r="58" spans="1:9" ht="29.1" customHeight="1" thickBot="1" x14ac:dyDescent="0.45">
      <c r="A58" s="51"/>
      <c r="B58" s="54"/>
      <c r="C58" s="26" t="s">
        <v>6</v>
      </c>
      <c r="D58" s="37" t="s">
        <v>66</v>
      </c>
      <c r="E58" s="5">
        <v>437</v>
      </c>
      <c r="F58" s="47">
        <v>17.5</v>
      </c>
      <c r="G58" s="47">
        <v>51</v>
      </c>
      <c r="H58" s="5">
        <v>2</v>
      </c>
      <c r="I58" s="47"/>
    </row>
    <row r="59" spans="1:9" ht="29.1" customHeight="1" x14ac:dyDescent="0.4">
      <c r="A59" s="55">
        <f>A51+1</f>
        <v>46158</v>
      </c>
      <c r="B59" s="57" t="s">
        <v>4</v>
      </c>
      <c r="C59" s="21" t="s">
        <v>5</v>
      </c>
      <c r="D59" s="40" t="s">
        <v>33</v>
      </c>
      <c r="E59" s="6">
        <v>336</v>
      </c>
      <c r="F59" s="6">
        <v>23.5</v>
      </c>
      <c r="G59" s="6">
        <v>51</v>
      </c>
      <c r="H59" s="6">
        <v>3.6</v>
      </c>
      <c r="I59" s="6"/>
    </row>
    <row r="60" spans="1:9" ht="29.1" customHeight="1" x14ac:dyDescent="0.4">
      <c r="A60" s="56"/>
      <c r="B60" s="58"/>
      <c r="C60" s="22" t="s">
        <v>6</v>
      </c>
      <c r="D60" s="41" t="s">
        <v>40</v>
      </c>
      <c r="E60" s="7">
        <v>338</v>
      </c>
      <c r="F60" s="7">
        <v>13.5</v>
      </c>
      <c r="G60" s="7">
        <v>51</v>
      </c>
      <c r="H60" s="7">
        <v>2</v>
      </c>
      <c r="I60" s="7"/>
    </row>
    <row r="61" spans="1:9" ht="29.1" customHeight="1" x14ac:dyDescent="0.4">
      <c r="A61" s="56"/>
      <c r="B61" s="52" t="s">
        <v>7</v>
      </c>
      <c r="C61" s="23" t="s">
        <v>8</v>
      </c>
      <c r="D61" s="42" t="s">
        <v>34</v>
      </c>
      <c r="E61" s="8">
        <v>442</v>
      </c>
      <c r="F61" s="8">
        <v>44.2</v>
      </c>
      <c r="G61" s="8">
        <v>51</v>
      </c>
      <c r="H61" s="8">
        <v>5.0999999999999996</v>
      </c>
      <c r="I61" s="97" t="s">
        <v>95</v>
      </c>
    </row>
    <row r="62" spans="1:9" ht="29.1" customHeight="1" x14ac:dyDescent="0.4">
      <c r="A62" s="56"/>
      <c r="B62" s="53"/>
      <c r="C62" s="24" t="s">
        <v>5</v>
      </c>
      <c r="D62" s="43" t="s">
        <v>35</v>
      </c>
      <c r="E62" s="7">
        <v>451</v>
      </c>
      <c r="F62" s="7">
        <v>18</v>
      </c>
      <c r="G62" s="7">
        <v>51</v>
      </c>
      <c r="H62" s="7">
        <v>2</v>
      </c>
      <c r="I62" s="7"/>
    </row>
    <row r="63" spans="1:9" ht="29.1" customHeight="1" x14ac:dyDescent="0.4">
      <c r="A63" s="56"/>
      <c r="B63" s="59"/>
      <c r="C63" s="25" t="s">
        <v>6</v>
      </c>
      <c r="D63" s="44" t="s">
        <v>36</v>
      </c>
      <c r="E63" s="9">
        <v>451</v>
      </c>
      <c r="F63" s="9">
        <v>18</v>
      </c>
      <c r="G63" s="9">
        <v>51</v>
      </c>
      <c r="H63" s="9">
        <v>2</v>
      </c>
      <c r="I63" s="9"/>
    </row>
    <row r="64" spans="1:9" ht="29.1" customHeight="1" x14ac:dyDescent="0.4">
      <c r="A64" s="50" t="s">
        <v>17</v>
      </c>
      <c r="B64" s="52" t="s">
        <v>10</v>
      </c>
      <c r="C64" s="23" t="s">
        <v>11</v>
      </c>
      <c r="D64" s="33" t="s">
        <v>37</v>
      </c>
      <c r="E64" s="8">
        <v>440</v>
      </c>
      <c r="F64" s="8">
        <v>44</v>
      </c>
      <c r="G64" s="8">
        <v>51</v>
      </c>
      <c r="H64" s="8">
        <v>5.0999999999999996</v>
      </c>
      <c r="I64" s="8"/>
    </row>
    <row r="65" spans="1:9" ht="29.1" customHeight="1" x14ac:dyDescent="0.4">
      <c r="A65" s="50"/>
      <c r="B65" s="53"/>
      <c r="C65" s="24" t="s">
        <v>5</v>
      </c>
      <c r="D65" s="43" t="s">
        <v>38</v>
      </c>
      <c r="E65" s="7">
        <v>447</v>
      </c>
      <c r="F65" s="7">
        <v>17.899999999999999</v>
      </c>
      <c r="G65" s="7">
        <v>51</v>
      </c>
      <c r="H65" s="7">
        <v>2</v>
      </c>
      <c r="I65" s="7"/>
    </row>
    <row r="66" spans="1:9" ht="29.1" customHeight="1" thickBot="1" x14ac:dyDescent="0.45">
      <c r="A66" s="51"/>
      <c r="B66" s="54"/>
      <c r="C66" s="26" t="s">
        <v>6</v>
      </c>
      <c r="D66" s="45" t="s">
        <v>39</v>
      </c>
      <c r="E66" s="5">
        <v>447</v>
      </c>
      <c r="F66" s="47">
        <v>17.899999999999999</v>
      </c>
      <c r="G66" s="47">
        <v>51</v>
      </c>
      <c r="H66" s="5">
        <v>2</v>
      </c>
      <c r="I66" s="47"/>
    </row>
    <row r="67" spans="1:9" ht="34.5" customHeight="1" x14ac:dyDescent="0.4">
      <c r="A67" s="48"/>
      <c r="B67" s="48"/>
      <c r="C67" s="48"/>
      <c r="E67" s="49"/>
      <c r="F67" s="49"/>
      <c r="G67" s="49"/>
      <c r="H67" s="49"/>
    </row>
    <row r="86" spans="1:4" s="12" customFormat="1" ht="18" customHeight="1" x14ac:dyDescent="0.4">
      <c r="A86" s="20"/>
      <c r="B86" s="11"/>
      <c r="C86" s="11"/>
      <c r="D86" s="17"/>
    </row>
  </sheetData>
  <mergeCells count="48">
    <mergeCell ref="A2:D2"/>
    <mergeCell ref="A3:E3"/>
    <mergeCell ref="A4:E5"/>
    <mergeCell ref="A7:A10"/>
    <mergeCell ref="B7:C10"/>
    <mergeCell ref="D7:D10"/>
    <mergeCell ref="E7:E10"/>
    <mergeCell ref="H7:H10"/>
    <mergeCell ref="I7:I10"/>
    <mergeCell ref="G7:G10"/>
    <mergeCell ref="F7:F10"/>
    <mergeCell ref="A27:A31"/>
    <mergeCell ref="B27:B28"/>
    <mergeCell ref="B29:B31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H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5月10日～5月16日</vt:lpstr>
      <vt:lpstr>'5月10日～5月16日'!Print_Area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PCUSER</cp:lastModifiedBy>
  <cp:lastPrinted>2025-01-27T02:01:39Z</cp:lastPrinted>
  <dcterms:created xsi:type="dcterms:W3CDTF">2024-09-24T04:03:51Z</dcterms:created>
  <dcterms:modified xsi:type="dcterms:W3CDTF">2026-05-12T01:47:32Z</dcterms:modified>
</cp:coreProperties>
</file>